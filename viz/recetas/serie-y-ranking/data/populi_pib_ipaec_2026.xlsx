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cedbeddb8fd8ff/Desktop/"/>
    </mc:Choice>
  </mc:AlternateContent>
  <xr:revisionPtr revIDLastSave="0" documentId="8_{D739162A-1CC3-4649-81F5-1564D9366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B trimestral" sheetId="1" r:id="rId1"/>
    <sheet name="IpAEC ene-jun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5" i="2"/>
  <c r="D14" i="2"/>
  <c r="D13" i="2"/>
  <c r="D12" i="2"/>
  <c r="D11" i="2"/>
  <c r="D10" i="2"/>
  <c r="D9" i="2"/>
  <c r="D8" i="2"/>
  <c r="D7" i="2"/>
  <c r="D6" i="2"/>
  <c r="D5" i="2"/>
  <c r="D16" i="2" s="1"/>
  <c r="D18" i="2" s="1"/>
  <c r="G46" i="1"/>
  <c r="F46" i="1"/>
  <c r="D46" i="1"/>
  <c r="E46" i="1" s="1"/>
  <c r="G45" i="1"/>
  <c r="F45" i="1"/>
  <c r="D45" i="1"/>
  <c r="E45" i="1" s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F15" i="1"/>
  <c r="E15" i="1"/>
  <c r="F14" i="1"/>
  <c r="E14" i="1"/>
  <c r="F13" i="1"/>
  <c r="E13" i="1"/>
</calcChain>
</file>

<file path=xl/sharedStrings.xml><?xml version="1.0" encoding="utf-8"?>
<sst xmlns="http://schemas.openxmlformats.org/spreadsheetml/2006/main" count="113" uniqueCount="77">
  <si>
    <t>Producto Interno Bruto trimestral a precios de mercado — variaciones</t>
  </si>
  <si>
    <t>Fuente: serie proporcionada por el usuario (INE). Celdas en azul = dato de entrada.</t>
  </si>
  <si>
    <t>Acumuladas 2026 proporcionadas (entrada)</t>
  </si>
  <si>
    <t>2026 I</t>
  </si>
  <si>
    <t>2026 II</t>
  </si>
  <si>
    <t>Año</t>
  </si>
  <si>
    <t>Trimestre</t>
  </si>
  <si>
    <t>Periodo</t>
  </si>
  <si>
    <t>PIB (nivel)</t>
  </si>
  <si>
    <t>Var. interanual</t>
  </si>
  <si>
    <t>Var. acumulada</t>
  </si>
  <si>
    <t>Var. 12 meses</t>
  </si>
  <si>
    <t>I</t>
  </si>
  <si>
    <t>2017 I</t>
  </si>
  <si>
    <t>II</t>
  </si>
  <si>
    <t>2017 II</t>
  </si>
  <si>
    <t>III</t>
  </si>
  <si>
    <t>2017 III</t>
  </si>
  <si>
    <t>IV</t>
  </si>
  <si>
    <t>2017 IV</t>
  </si>
  <si>
    <t>2018 I</t>
  </si>
  <si>
    <t>2018 II</t>
  </si>
  <si>
    <t>2018 III</t>
  </si>
  <si>
    <t>2018 IV</t>
  </si>
  <si>
    <t>2019 I</t>
  </si>
  <si>
    <t>2019 II</t>
  </si>
  <si>
    <t>2019 III</t>
  </si>
  <si>
    <t>2019 IV</t>
  </si>
  <si>
    <t>2020 I</t>
  </si>
  <si>
    <t>2020 II</t>
  </si>
  <si>
    <t>2020 III</t>
  </si>
  <si>
    <t>2020 IV</t>
  </si>
  <si>
    <t>2021 I</t>
  </si>
  <si>
    <t>2021 II</t>
  </si>
  <si>
    <t>2021 III</t>
  </si>
  <si>
    <t>2021 IV</t>
  </si>
  <si>
    <t>2022 I</t>
  </si>
  <si>
    <t>2022 II</t>
  </si>
  <si>
    <t>2022 III</t>
  </si>
  <si>
    <t>2022 IV</t>
  </si>
  <si>
    <t>2023 I</t>
  </si>
  <si>
    <t>2023 II</t>
  </si>
  <si>
    <t>2023 III</t>
  </si>
  <si>
    <t>2023 IV</t>
  </si>
  <si>
    <t>2024 I</t>
  </si>
  <si>
    <t>2024 II</t>
  </si>
  <si>
    <t>2024 III</t>
  </si>
  <si>
    <t>2024 IV</t>
  </si>
  <si>
    <t>2025 I</t>
  </si>
  <si>
    <t>2025 II</t>
  </si>
  <si>
    <t>2025 III</t>
  </si>
  <si>
    <t>2025 IV</t>
  </si>
  <si>
    <t>Definiciones: interanual = t/t-4. Acumulada = suma del año corrido vs igual periodo del año anterior. 12 meses = suma móvil de 4 trimestres vs los 4 previos.</t>
  </si>
  <si>
    <t>Control: en cada IV trimestre la acumulada y la de 12 meses deben coincidir.</t>
  </si>
  <si>
    <t>Niveles 2026 I y II despejados de las acumuladas proporcionadas; margen por redondeo ±8 unidades.</t>
  </si>
  <si>
    <t>Indicador proxy de Actividad Económica (IpAEC) — variación acumulada enero–junio 2026</t>
  </si>
  <si>
    <t>Datos de variación: Gráfico 1.11 (imagen proporcionada). Ponderaciones: SUPUESTO propio, no oficial.</t>
  </si>
  <si>
    <t>Actividad económica</t>
  </si>
  <si>
    <t>Var. acumulada (%)</t>
  </si>
  <si>
    <t>Ponderación supuesta</t>
  </si>
  <si>
    <t>Contribución aprox. (pp)</t>
  </si>
  <si>
    <t>Actividad extractiva</t>
  </si>
  <si>
    <t>Agricultura, ganadería, silvicultura y pesca</t>
  </si>
  <si>
    <t>Suministro de electricidad, agua y recolección de desechos sólidos</t>
  </si>
  <si>
    <t>Administración pública, salud y educación de no mercado</t>
  </si>
  <si>
    <t>Actividades comunales sociales (**)</t>
  </si>
  <si>
    <t>Actividades de alojamiento y servicio de comidas y bebidas</t>
  </si>
  <si>
    <t>Actividades financieras y de seguros, inmobiliarias (*)</t>
  </si>
  <si>
    <t>Industrias manufactureras</t>
  </si>
  <si>
    <t>Comercio</t>
  </si>
  <si>
    <t>Transporte y comunicaciones</t>
  </si>
  <si>
    <t>Construcción</t>
  </si>
  <si>
    <t>Suma de contribuciones estimadas</t>
  </si>
  <si>
    <t>Total IpAEC publicado (ene–jun 2026)</t>
  </si>
  <si>
    <t>Discrepancia (suma estimada - total publicado)</t>
  </si>
  <si>
    <t>(*) y (**): la fuente reagrupa actividades respecto de la clasificación estándar del INE; revisar la nota al pie del documento original antes de comparar con series históricas.</t>
  </si>
  <si>
    <t>Las ponderaciones de la columna C son supuestos aproximados de la estructura del PIB boliviano, editables. Reemplazar por las ponderaciones oficiales del INE recalcula las contribuciones.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</si>
</sst>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%;[Red]\-0.00%;\-"/>
    <numFmt numFmtId="165" formatCode="0.0"/>
    <numFmt numFmtId="166" formatCode="0.0%"/>
  </numFmts>
  <fonts count="7">
    <font>
      <sz val="11"/>
      <color theme="1"/>
      <name val="Calibri"/>
      <family val="2"/>
      <scheme val="minor"/>
    </font>
    <font>
      <b/>
      <sz val="12"/>
      <color rgb="FF6B5134"/>
      <name val="Source Sans 3"/>
    </font>
    <font>
      <i/>
      <sz val="9"/>
      <color rgb="FF595959"/>
      <name val="Source Sans 3"/>
    </font>
    <font>
      <b/>
      <sz val="10"/>
      <name val="Source Sans 3"/>
    </font>
    <font>
      <sz val="10"/>
      <name val="Source Sans 3"/>
    </font>
    <font>
      <sz val="10"/>
      <color rgb="FF0000FF"/>
      <name val="Source Sans 3"/>
    </font>
    <font>
      <b/>
      <sz val="10"/>
      <color rgb="FFFFFFFF"/>
      <name val="Source Sans 3"/>
    </font>
  </fonts>
  <fills count="3">
    <fill>
      <patternFill patternType="none"/>
    </fill>
    <fill>
      <patternFill patternType="gray125"/>
    </fill>
    <fill>
      <patternFill patternType="solid">
        <fgColor rgb="FF6B513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0C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5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164" fontId="0" fillId="0" borderId="0" xfId="0" applyNumberFormat="1"/>
    <xf numFmtId="0" fontId="4" fillId="0" borderId="1" xfId="0" applyFont="1" applyBorder="1"/>
    <xf numFmtId="3" fontId="5" fillId="0" borderId="1" xfId="0" applyNumberFormat="1" applyFont="1" applyBorder="1"/>
    <xf numFmtId="164" fontId="0" fillId="0" borderId="1" xfId="0" applyNumberFormat="1" applyBorder="1"/>
    <xf numFmtId="164" fontId="4" fillId="0" borderId="0" xfId="0" applyNumberFormat="1" applyFont="1"/>
    <xf numFmtId="164" fontId="4" fillId="0" borderId="1" xfId="0" applyNumberFormat="1" applyFont="1" applyBorder="1"/>
    <xf numFmtId="3" fontId="4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2" fontId="4" fillId="0" borderId="0" xfId="0" applyNumberFormat="1" applyFont="1"/>
    <xf numFmtId="166" fontId="3" fillId="0" borderId="0" xfId="0" applyNumberFormat="1" applyFont="1"/>
    <xf numFmtId="2" fontId="3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8" topLeftCell="A9" activePane="bottomLeft" state="frozen"/>
      <selection pane="bottomLeft"/>
    </sheetView>
  </sheetViews>
  <sheetFormatPr baseColWidth="10" defaultColWidth="8.88671875" defaultRowHeight="14.4"/>
  <cols>
    <col min="1" max="1" width="8" customWidth="1"/>
    <col min="2" max="3" width="11" customWidth="1"/>
    <col min="4" max="7" width="14" customWidth="1"/>
  </cols>
  <sheetData>
    <row r="1" spans="1:7" ht="15.6">
      <c r="A1" s="1" t="s">
        <v>0</v>
      </c>
    </row>
    <row r="2" spans="1:7">
      <c r="A2" s="2" t="s">
        <v>1</v>
      </c>
    </row>
    <row r="4" spans="1:7">
      <c r="A4" s="3" t="s">
        <v>2</v>
      </c>
    </row>
    <row r="5" spans="1:7">
      <c r="A5" s="4" t="s">
        <v>3</v>
      </c>
      <c r="B5" s="5">
        <v>5.9999999999999995E-4</v>
      </c>
    </row>
    <row r="6" spans="1:7">
      <c r="A6" s="4" t="s">
        <v>4</v>
      </c>
      <c r="B6" s="5">
        <v>-3.3399999999999999E-2</v>
      </c>
    </row>
    <row r="8" spans="1:7" ht="26.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</row>
    <row r="9" spans="1:7">
      <c r="A9" s="4">
        <v>2017</v>
      </c>
      <c r="B9" s="4" t="s">
        <v>12</v>
      </c>
      <c r="C9" s="4" t="s">
        <v>13</v>
      </c>
      <c r="D9" s="7">
        <v>75234</v>
      </c>
      <c r="E9" s="8"/>
      <c r="F9" s="8"/>
      <c r="G9" s="8"/>
    </row>
    <row r="10" spans="1:7">
      <c r="A10" s="4">
        <v>2017</v>
      </c>
      <c r="B10" s="4" t="s">
        <v>14</v>
      </c>
      <c r="C10" s="4" t="s">
        <v>15</v>
      </c>
      <c r="D10" s="7">
        <v>80177</v>
      </c>
      <c r="E10" s="8"/>
      <c r="F10" s="8"/>
      <c r="G10" s="8"/>
    </row>
    <row r="11" spans="1:7">
      <c r="A11" s="4">
        <v>2017</v>
      </c>
      <c r="B11" s="4" t="s">
        <v>16</v>
      </c>
      <c r="C11" s="4" t="s">
        <v>17</v>
      </c>
      <c r="D11" s="7">
        <v>82561</v>
      </c>
      <c r="E11" s="8"/>
      <c r="F11" s="8"/>
      <c r="G11" s="8"/>
    </row>
    <row r="12" spans="1:7">
      <c r="A12" s="9">
        <v>2017</v>
      </c>
      <c r="B12" s="9" t="s">
        <v>18</v>
      </c>
      <c r="C12" s="9" t="s">
        <v>19</v>
      </c>
      <c r="D12" s="10">
        <v>79387</v>
      </c>
      <c r="E12" s="11"/>
      <c r="F12" s="11"/>
      <c r="G12" s="11"/>
    </row>
    <row r="13" spans="1:7">
      <c r="A13" s="4">
        <v>2018</v>
      </c>
      <c r="B13" s="4" t="s">
        <v>12</v>
      </c>
      <c r="C13" s="4" t="s">
        <v>20</v>
      </c>
      <c r="D13" s="7">
        <v>77481</v>
      </c>
      <c r="E13" s="12">
        <f t="shared" ref="E13:E46" si="0">D13/D9-1</f>
        <v>2.9866815535529057E-2</v>
      </c>
      <c r="F13" s="12">
        <f>SUM(D13:D13)/SUM(D9:D9)-1</f>
        <v>2.9866815535529057E-2</v>
      </c>
      <c r="G13" s="8"/>
    </row>
    <row r="14" spans="1:7">
      <c r="A14" s="4">
        <v>2018</v>
      </c>
      <c r="B14" s="4" t="s">
        <v>14</v>
      </c>
      <c r="C14" s="4" t="s">
        <v>21</v>
      </c>
      <c r="D14" s="7">
        <v>85436</v>
      </c>
      <c r="E14" s="12">
        <f t="shared" si="0"/>
        <v>6.5592376866183466E-2</v>
      </c>
      <c r="F14" s="12">
        <f>SUM(D13:D14)/SUM(D9:D10)-1</f>
        <v>4.8297739542246143E-2</v>
      </c>
      <c r="G14" s="8"/>
    </row>
    <row r="15" spans="1:7">
      <c r="A15" s="4">
        <v>2018</v>
      </c>
      <c r="B15" s="4" t="s">
        <v>16</v>
      </c>
      <c r="C15" s="4" t="s">
        <v>22</v>
      </c>
      <c r="D15" s="7">
        <v>82899</v>
      </c>
      <c r="E15" s="12">
        <f t="shared" si="0"/>
        <v>4.0939426605781648E-3</v>
      </c>
      <c r="F15" s="12">
        <f>SUM(D13:D15)/SUM(D9:D11)-1</f>
        <v>3.2961861059284336E-2</v>
      </c>
      <c r="G15" s="8"/>
    </row>
    <row r="16" spans="1:7">
      <c r="A16" s="9">
        <v>2018</v>
      </c>
      <c r="B16" s="9" t="s">
        <v>18</v>
      </c>
      <c r="C16" s="9" t="s">
        <v>23</v>
      </c>
      <c r="D16" s="10">
        <v>80644</v>
      </c>
      <c r="E16" s="13">
        <f t="shared" si="0"/>
        <v>1.5833826697066344E-2</v>
      </c>
      <c r="F16" s="13">
        <f>SUM(D13:D16)/SUM(D9:D12)-1</f>
        <v>2.8677302361048485E-2</v>
      </c>
      <c r="G16" s="13">
        <f t="shared" ref="G16:G46" si="1">SUM(D13:D16)/SUM(D9:D12)-1</f>
        <v>2.8677302361048485E-2</v>
      </c>
    </row>
    <row r="17" spans="1:7">
      <c r="A17" s="4">
        <v>2019</v>
      </c>
      <c r="B17" s="4" t="s">
        <v>12</v>
      </c>
      <c r="C17" s="4" t="s">
        <v>24</v>
      </c>
      <c r="D17" s="7">
        <v>80210</v>
      </c>
      <c r="E17" s="12">
        <f t="shared" si="0"/>
        <v>3.5221538183554779E-2</v>
      </c>
      <c r="F17" s="12">
        <f>SUM(D17:D17)/SUM(D13:D13)-1</f>
        <v>3.5221538183554779E-2</v>
      </c>
      <c r="G17" s="12">
        <f t="shared" si="1"/>
        <v>2.9983792544570509E-2</v>
      </c>
    </row>
    <row r="18" spans="1:7">
      <c r="A18" s="4">
        <v>2019</v>
      </c>
      <c r="B18" s="4" t="s">
        <v>14</v>
      </c>
      <c r="C18" s="4" t="s">
        <v>25</v>
      </c>
      <c r="D18" s="7">
        <v>86412</v>
      </c>
      <c r="E18" s="12">
        <f t="shared" si="0"/>
        <v>1.1423755793810608E-2</v>
      </c>
      <c r="F18" s="12">
        <f>SUM(D17:D18)/SUM(D13:D14)-1</f>
        <v>2.2741641449326888E-2</v>
      </c>
      <c r="G18" s="12">
        <f t="shared" si="1"/>
        <v>1.6314469087159278E-2</v>
      </c>
    </row>
    <row r="19" spans="1:7">
      <c r="A19" s="4">
        <v>2019</v>
      </c>
      <c r="B19" s="4" t="s">
        <v>16</v>
      </c>
      <c r="C19" s="4" t="s">
        <v>26</v>
      </c>
      <c r="D19" s="7">
        <v>85874</v>
      </c>
      <c r="E19" s="12">
        <f t="shared" si="0"/>
        <v>3.5887043269520635E-2</v>
      </c>
      <c r="F19" s="12">
        <f>SUM(D17:D19)/SUM(D13:D15)-1</f>
        <v>2.7174797409444507E-2</v>
      </c>
      <c r="G19" s="12">
        <f t="shared" si="1"/>
        <v>2.4406293914877697E-2</v>
      </c>
    </row>
    <row r="20" spans="1:7">
      <c r="A20" s="9">
        <v>2019</v>
      </c>
      <c r="B20" s="9" t="s">
        <v>18</v>
      </c>
      <c r="C20" s="9" t="s">
        <v>27</v>
      </c>
      <c r="D20" s="10">
        <v>78883</v>
      </c>
      <c r="E20" s="13">
        <f t="shared" si="0"/>
        <v>-2.1836714448688066E-2</v>
      </c>
      <c r="F20" s="13">
        <f>SUM(D17:D20)/SUM(D13:D16)-1</f>
        <v>1.5067695889235955E-2</v>
      </c>
      <c r="G20" s="13">
        <f t="shared" si="1"/>
        <v>1.5067695889235955E-2</v>
      </c>
    </row>
    <row r="21" spans="1:7">
      <c r="A21" s="4">
        <v>2020</v>
      </c>
      <c r="B21" s="4" t="s">
        <v>12</v>
      </c>
      <c r="C21" s="4" t="s">
        <v>28</v>
      </c>
      <c r="D21" s="7">
        <v>76532</v>
      </c>
      <c r="E21" s="12">
        <f t="shared" si="0"/>
        <v>-4.5854631592070816E-2</v>
      </c>
      <c r="F21" s="12">
        <f>SUM(D21:D21)/SUM(D17:D17)-1</f>
        <v>-4.5854631592070816E-2</v>
      </c>
      <c r="G21" s="12">
        <f t="shared" si="1"/>
        <v>-4.5201996421508905E-3</v>
      </c>
    </row>
    <row r="22" spans="1:7">
      <c r="A22" s="4">
        <v>2020</v>
      </c>
      <c r="B22" s="4" t="s">
        <v>14</v>
      </c>
      <c r="C22" s="4" t="s">
        <v>29</v>
      </c>
      <c r="D22" s="7">
        <v>64029</v>
      </c>
      <c r="E22" s="12">
        <f t="shared" si="0"/>
        <v>-0.25902652409387583</v>
      </c>
      <c r="F22" s="12">
        <f>SUM(D21:D22)/SUM(D17:D18)-1</f>
        <v>-0.15640791732184223</v>
      </c>
      <c r="G22" s="12">
        <f t="shared" si="1"/>
        <v>-7.5256311238320217E-2</v>
      </c>
    </row>
    <row r="23" spans="1:7">
      <c r="A23" s="4">
        <v>2020</v>
      </c>
      <c r="B23" s="4" t="s">
        <v>16</v>
      </c>
      <c r="C23" s="4" t="s">
        <v>30</v>
      </c>
      <c r="D23" s="7">
        <v>71920</v>
      </c>
      <c r="E23" s="12">
        <f t="shared" si="0"/>
        <v>-0.16249388639169016</v>
      </c>
      <c r="F23" s="12">
        <f>SUM(D21:D23)/SUM(D17:D19)-1</f>
        <v>-0.15847775806349407</v>
      </c>
      <c r="G23" s="12">
        <f t="shared" si="1"/>
        <v>-0.12540073242480643</v>
      </c>
    </row>
    <row r="24" spans="1:7">
      <c r="A24" s="9">
        <v>2020</v>
      </c>
      <c r="B24" s="9" t="s">
        <v>18</v>
      </c>
      <c r="C24" s="9" t="s">
        <v>31</v>
      </c>
      <c r="D24" s="10">
        <v>76750</v>
      </c>
      <c r="E24" s="13">
        <f t="shared" si="0"/>
        <v>-2.704004665136972E-2</v>
      </c>
      <c r="F24" s="13">
        <f>SUM(D21:D24)/SUM(D17:D20)-1</f>
        <v>-0.12718971328901352</v>
      </c>
      <c r="G24" s="13">
        <f t="shared" si="1"/>
        <v>-0.12718971328901352</v>
      </c>
    </row>
    <row r="25" spans="1:7">
      <c r="A25" s="4">
        <v>2021</v>
      </c>
      <c r="B25" s="4" t="s">
        <v>12</v>
      </c>
      <c r="C25" s="4" t="s">
        <v>32</v>
      </c>
      <c r="D25" s="7">
        <v>75109</v>
      </c>
      <c r="E25" s="12">
        <f t="shared" si="0"/>
        <v>-1.8593529503998285E-2</v>
      </c>
      <c r="F25" s="12">
        <f>SUM(D25:D25)/SUM(D21:D21)-1</f>
        <v>-1.8593529503998285E-2</v>
      </c>
      <c r="G25" s="12">
        <f t="shared" si="1"/>
        <v>-0.12173597273123971</v>
      </c>
    </row>
    <row r="26" spans="1:7">
      <c r="A26" s="4">
        <v>2021</v>
      </c>
      <c r="B26" s="4" t="s">
        <v>14</v>
      </c>
      <c r="C26" s="4" t="s">
        <v>33</v>
      </c>
      <c r="D26" s="7">
        <v>81541</v>
      </c>
      <c r="E26" s="12">
        <f t="shared" si="0"/>
        <v>0.27350106982773426</v>
      </c>
      <c r="F26" s="12">
        <f>SUM(D25:D26)/SUM(D21:D22)-1</f>
        <v>0.11446275994052413</v>
      </c>
      <c r="G26" s="12">
        <f t="shared" si="1"/>
        <v>6.5505472981453039E-6</v>
      </c>
    </row>
    <row r="27" spans="1:7">
      <c r="A27" s="4">
        <v>2021</v>
      </c>
      <c r="B27" s="4" t="s">
        <v>16</v>
      </c>
      <c r="C27" s="4" t="s">
        <v>34</v>
      </c>
      <c r="D27" s="7">
        <v>81169</v>
      </c>
      <c r="E27" s="12">
        <f t="shared" si="0"/>
        <v>0.12860122358175752</v>
      </c>
      <c r="F27" s="12">
        <f>SUM(D25:D27)/SUM(D21:D23)-1</f>
        <v>0.11924830926059271</v>
      </c>
      <c r="G27" s="12">
        <f t="shared" si="1"/>
        <v>7.9642646311829823E-2</v>
      </c>
    </row>
    <row r="28" spans="1:7">
      <c r="A28" s="9">
        <v>2021</v>
      </c>
      <c r="B28" s="9" t="s">
        <v>18</v>
      </c>
      <c r="C28" s="9" t="s">
        <v>35</v>
      </c>
      <c r="D28" s="10">
        <v>80419</v>
      </c>
      <c r="E28" s="13">
        <f t="shared" si="0"/>
        <v>4.7804560260586326E-2</v>
      </c>
      <c r="F28" s="13">
        <f>SUM(D25:D28)/SUM(D21:D24)-1</f>
        <v>0.1002900795557875</v>
      </c>
      <c r="G28" s="13">
        <f t="shared" si="1"/>
        <v>0.1002900795557875</v>
      </c>
    </row>
    <row r="29" spans="1:7">
      <c r="A29" s="4">
        <v>2022</v>
      </c>
      <c r="B29" s="4" t="s">
        <v>12</v>
      </c>
      <c r="C29" s="4" t="s">
        <v>36</v>
      </c>
      <c r="D29" s="7">
        <v>81682</v>
      </c>
      <c r="E29" s="12">
        <f t="shared" si="0"/>
        <v>8.7512814709289177E-2</v>
      </c>
      <c r="F29" s="12">
        <f>SUM(D29:D29)/SUM(D25:D25)-1</f>
        <v>8.7512814709289177E-2</v>
      </c>
      <c r="G29" s="12">
        <f t="shared" si="1"/>
        <v>0.12856835112297094</v>
      </c>
    </row>
    <row r="30" spans="1:7">
      <c r="A30" s="4">
        <v>2022</v>
      </c>
      <c r="B30" s="4" t="s">
        <v>14</v>
      </c>
      <c r="C30" s="4" t="s">
        <v>37</v>
      </c>
      <c r="D30" s="7">
        <v>85248</v>
      </c>
      <c r="E30" s="12">
        <f t="shared" si="0"/>
        <v>4.546179222722313E-2</v>
      </c>
      <c r="F30" s="12">
        <f>SUM(D29:D30)/SUM(D25:D26)-1</f>
        <v>6.5624002553463123E-2</v>
      </c>
      <c r="G30" s="12">
        <f t="shared" si="1"/>
        <v>7.5979300406131323E-2</v>
      </c>
    </row>
    <row r="31" spans="1:7">
      <c r="A31" s="4">
        <v>2022</v>
      </c>
      <c r="B31" s="4" t="s">
        <v>16</v>
      </c>
      <c r="C31" s="4" t="s">
        <v>38</v>
      </c>
      <c r="D31" s="7">
        <v>84141</v>
      </c>
      <c r="E31" s="12">
        <f t="shared" si="0"/>
        <v>3.6614963840875259E-2</v>
      </c>
      <c r="F31" s="12">
        <f>SUM(D29:D31)/SUM(D25:D27)-1</f>
        <v>5.5723049882473674E-2</v>
      </c>
      <c r="G31" s="12">
        <f t="shared" si="1"/>
        <v>5.379106014896573E-2</v>
      </c>
    </row>
    <row r="32" spans="1:7">
      <c r="A32" s="9">
        <v>2022</v>
      </c>
      <c r="B32" s="9" t="s">
        <v>18</v>
      </c>
      <c r="C32" s="9" t="s">
        <v>39</v>
      </c>
      <c r="D32" s="10">
        <v>79091</v>
      </c>
      <c r="E32" s="13">
        <f t="shared" si="0"/>
        <v>-1.6513510488814886E-2</v>
      </c>
      <c r="F32" s="13">
        <f>SUM(D29:D32)/SUM(D25:D28)-1</f>
        <v>3.7468812649652072E-2</v>
      </c>
      <c r="G32" s="13">
        <f t="shared" si="1"/>
        <v>3.7468812649652072E-2</v>
      </c>
    </row>
    <row r="33" spans="1:7">
      <c r="A33" s="4">
        <v>2023</v>
      </c>
      <c r="B33" s="4" t="s">
        <v>12</v>
      </c>
      <c r="C33" s="4" t="s">
        <v>40</v>
      </c>
      <c r="D33" s="7">
        <v>81529</v>
      </c>
      <c r="E33" s="12">
        <f t="shared" si="0"/>
        <v>-1.8731177003501465E-3</v>
      </c>
      <c r="F33" s="12">
        <f>SUM(D33:D33)/SUM(D29:D29)-1</f>
        <v>-1.8731177003501465E-3</v>
      </c>
      <c r="G33" s="12">
        <f t="shared" si="1"/>
        <v>1.6003152602590331E-2</v>
      </c>
    </row>
    <row r="34" spans="1:7">
      <c r="A34" s="4">
        <v>2023</v>
      </c>
      <c r="B34" s="4" t="s">
        <v>14</v>
      </c>
      <c r="C34" s="4" t="s">
        <v>41</v>
      </c>
      <c r="D34" s="7">
        <v>88308</v>
      </c>
      <c r="E34" s="12">
        <f t="shared" si="0"/>
        <v>3.5895270270270174E-2</v>
      </c>
      <c r="F34" s="12">
        <f>SUM(D33:D34)/SUM(D29:D30)-1</f>
        <v>1.7414485113520728E-2</v>
      </c>
      <c r="G34" s="12">
        <f t="shared" si="1"/>
        <v>1.3853122203349555E-2</v>
      </c>
    </row>
    <row r="35" spans="1:7">
      <c r="A35" s="4">
        <v>2023</v>
      </c>
      <c r="B35" s="4" t="s">
        <v>16</v>
      </c>
      <c r="C35" s="4" t="s">
        <v>42</v>
      </c>
      <c r="D35" s="7">
        <v>86547</v>
      </c>
      <c r="E35" s="12">
        <f t="shared" si="0"/>
        <v>2.8594858630156539E-2</v>
      </c>
      <c r="F35" s="12">
        <f>SUM(D33:D35)/SUM(D29:D31)-1</f>
        <v>2.1161344798881654E-2</v>
      </c>
      <c r="G35" s="12">
        <f t="shared" si="1"/>
        <v>1.202147877764026E-2</v>
      </c>
    </row>
    <row r="36" spans="1:7">
      <c r="A36" s="9">
        <v>2023</v>
      </c>
      <c r="B36" s="9" t="s">
        <v>18</v>
      </c>
      <c r="C36" s="9" t="s">
        <v>43</v>
      </c>
      <c r="D36" s="10">
        <v>82086</v>
      </c>
      <c r="E36" s="13">
        <f t="shared" si="0"/>
        <v>3.7867772565778557E-2</v>
      </c>
      <c r="F36" s="13">
        <f>SUM(D33:D36)/SUM(D29:D32)-1</f>
        <v>2.5163404631665776E-2</v>
      </c>
      <c r="G36" s="13">
        <f t="shared" si="1"/>
        <v>2.5163404631665776E-2</v>
      </c>
    </row>
    <row r="37" spans="1:7">
      <c r="A37" s="4">
        <v>2024</v>
      </c>
      <c r="B37" s="4" t="s">
        <v>12</v>
      </c>
      <c r="C37" s="4" t="s">
        <v>44</v>
      </c>
      <c r="D37" s="7">
        <v>79584</v>
      </c>
      <c r="E37" s="12">
        <f t="shared" si="0"/>
        <v>-2.3856541844006429E-2</v>
      </c>
      <c r="F37" s="12">
        <f>SUM(D37:D37)/SUM(D33:D33)-1</f>
        <v>-2.3856541844006429E-2</v>
      </c>
      <c r="G37" s="12">
        <f t="shared" si="1"/>
        <v>1.9744916047744088E-2</v>
      </c>
    </row>
    <row r="38" spans="1:7">
      <c r="A38" s="4">
        <v>2024</v>
      </c>
      <c r="B38" s="4" t="s">
        <v>14</v>
      </c>
      <c r="C38" s="4" t="s">
        <v>45</v>
      </c>
      <c r="D38" s="7">
        <v>89058</v>
      </c>
      <c r="E38" s="12">
        <f t="shared" si="0"/>
        <v>8.493001766544328E-3</v>
      </c>
      <c r="F38" s="12">
        <f>SUM(D37:D38)/SUM(D33:D34)-1</f>
        <v>-7.0361581987434807E-3</v>
      </c>
      <c r="G38" s="12">
        <f t="shared" si="1"/>
        <v>1.2628014015114042E-2</v>
      </c>
    </row>
    <row r="39" spans="1:7">
      <c r="A39" s="4">
        <v>2024</v>
      </c>
      <c r="B39" s="4" t="s">
        <v>16</v>
      </c>
      <c r="C39" s="4" t="s">
        <v>46</v>
      </c>
      <c r="D39" s="7">
        <v>85333</v>
      </c>
      <c r="E39" s="12">
        <f t="shared" si="0"/>
        <v>-1.4027060441147543E-2</v>
      </c>
      <c r="F39" s="12">
        <f>SUM(D37:D39)/SUM(D33:D35)-1</f>
        <v>-9.3960621567648062E-3</v>
      </c>
      <c r="G39" s="12">
        <f t="shared" si="1"/>
        <v>1.7467769580445935E-3</v>
      </c>
    </row>
    <row r="40" spans="1:7">
      <c r="A40" s="9">
        <v>2024</v>
      </c>
      <c r="B40" s="9" t="s">
        <v>18</v>
      </c>
      <c r="C40" s="9" t="s">
        <v>47</v>
      </c>
      <c r="D40" s="10">
        <v>80694</v>
      </c>
      <c r="E40" s="13">
        <f t="shared" si="0"/>
        <v>-1.6957824720415182E-2</v>
      </c>
      <c r="F40" s="13">
        <f>SUM(D37:D40)/SUM(D33:D36)-1</f>
        <v>-1.1229946524064172E-2</v>
      </c>
      <c r="G40" s="13">
        <f t="shared" si="1"/>
        <v>-1.1229946524064172E-2</v>
      </c>
    </row>
    <row r="41" spans="1:7">
      <c r="A41" s="4">
        <v>2025</v>
      </c>
      <c r="B41" s="4" t="s">
        <v>12</v>
      </c>
      <c r="C41" s="4" t="s">
        <v>48</v>
      </c>
      <c r="D41" s="7">
        <v>78258</v>
      </c>
      <c r="E41" s="12">
        <f t="shared" si="0"/>
        <v>-1.6661640530759914E-2</v>
      </c>
      <c r="F41" s="12">
        <f>SUM(D41:D41)/SUM(D37:D37)-1</f>
        <v>-1.6661640530759914E-2</v>
      </c>
      <c r="G41" s="12">
        <f t="shared" si="1"/>
        <v>-9.4554639328430223E-3</v>
      </c>
    </row>
    <row r="42" spans="1:7">
      <c r="A42" s="4">
        <v>2025</v>
      </c>
      <c r="B42" s="4" t="s">
        <v>14</v>
      </c>
      <c r="C42" s="4" t="s">
        <v>49</v>
      </c>
      <c r="D42" s="7">
        <v>86588</v>
      </c>
      <c r="E42" s="12">
        <f t="shared" si="0"/>
        <v>-2.773473466729548E-2</v>
      </c>
      <c r="F42" s="12">
        <f>SUM(D41:D42)/SUM(D37:D38)-1</f>
        <v>-2.2509220716073086E-2</v>
      </c>
      <c r="G42" s="12">
        <f t="shared" si="1"/>
        <v>-1.8981543251056276E-2</v>
      </c>
    </row>
    <row r="43" spans="1:7">
      <c r="A43" s="4">
        <v>2025</v>
      </c>
      <c r="B43" s="4" t="s">
        <v>16</v>
      </c>
      <c r="C43" s="4" t="s">
        <v>50</v>
      </c>
      <c r="D43" s="7">
        <v>84754</v>
      </c>
      <c r="E43" s="12">
        <f t="shared" si="0"/>
        <v>-6.7851827546201449E-3</v>
      </c>
      <c r="F43" s="12">
        <f>SUM(D41:D43)/SUM(D37:D39)-1</f>
        <v>-1.7226104931587716E-2</v>
      </c>
      <c r="G43" s="12">
        <f t="shared" si="1"/>
        <v>-1.7160575014655066E-2</v>
      </c>
    </row>
    <row r="44" spans="1:7">
      <c r="A44" s="9">
        <v>2025</v>
      </c>
      <c r="B44" s="9" t="s">
        <v>18</v>
      </c>
      <c r="C44" s="9" t="s">
        <v>51</v>
      </c>
      <c r="D44" s="10">
        <v>79771</v>
      </c>
      <c r="E44" s="13">
        <f t="shared" si="0"/>
        <v>-1.1438272981882158E-2</v>
      </c>
      <c r="F44" s="13">
        <f>SUM(D41:D44)/SUM(D37:D40)-1</f>
        <v>-1.5830566918358158E-2</v>
      </c>
      <c r="G44" s="13">
        <f t="shared" si="1"/>
        <v>-1.5830566918358158E-2</v>
      </c>
    </row>
    <row r="45" spans="1:7">
      <c r="A45" s="4">
        <v>2026</v>
      </c>
      <c r="B45" s="4" t="s">
        <v>12</v>
      </c>
      <c r="C45" s="4" t="s">
        <v>3</v>
      </c>
      <c r="D45" s="14">
        <f>D41*(1+$B$5)</f>
        <v>78304.954799999992</v>
      </c>
      <c r="E45" s="12">
        <f t="shared" si="0"/>
        <v>5.9999999999993392E-4</v>
      </c>
      <c r="F45" s="12">
        <f>SUM(D45:D45)/SUM(D41:D41)-1</f>
        <v>5.9999999999993392E-4</v>
      </c>
      <c r="G45" s="12">
        <f t="shared" si="1"/>
        <v>-1.1774794130970156E-2</v>
      </c>
    </row>
    <row r="46" spans="1:7">
      <c r="A46" s="4">
        <v>2026</v>
      </c>
      <c r="B46" s="4" t="s">
        <v>14</v>
      </c>
      <c r="C46" s="4" t="s">
        <v>4</v>
      </c>
      <c r="D46" s="14">
        <f>(D41+D42)*(1+$B$6)-D45</f>
        <v>81035.188800000018</v>
      </c>
      <c r="E46" s="12">
        <f t="shared" si="0"/>
        <v>-6.4129107959532305E-2</v>
      </c>
      <c r="F46" s="12">
        <f>SUM(D45:D46)/SUM(D41:D42)-1</f>
        <v>-3.3399999999999985E-2</v>
      </c>
      <c r="G46" s="12">
        <f t="shared" si="1"/>
        <v>-2.1179898027339772E-2</v>
      </c>
    </row>
    <row r="48" spans="1:7">
      <c r="A48" s="2" t="s">
        <v>52</v>
      </c>
    </row>
    <row r="49" spans="1:1">
      <c r="A49" s="2" t="s">
        <v>53</v>
      </c>
    </row>
    <row r="50" spans="1:1">
      <c r="A50" s="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88671875" defaultRowHeight="14.4"/>
  <cols>
    <col min="1" max="1" width="58" customWidth="1"/>
    <col min="2" max="2" width="18" customWidth="1"/>
    <col min="3" max="3" width="20" customWidth="1"/>
    <col min="4" max="4" width="22" customWidth="1"/>
  </cols>
  <sheetData>
    <row r="1" spans="1:4" ht="15.6">
      <c r="A1" s="1" t="s">
        <v>55</v>
      </c>
    </row>
    <row r="2" spans="1:4">
      <c r="A2" s="2" t="s">
        <v>56</v>
      </c>
    </row>
    <row r="4" spans="1:4" ht="26.4">
      <c r="A4" s="6" t="s">
        <v>57</v>
      </c>
      <c r="B4" s="6" t="s">
        <v>58</v>
      </c>
      <c r="C4" s="6" t="s">
        <v>59</v>
      </c>
      <c r="D4" s="6" t="s">
        <v>60</v>
      </c>
    </row>
    <row r="5" spans="1:4">
      <c r="A5" s="4" t="s">
        <v>61</v>
      </c>
      <c r="B5" s="15">
        <v>9.9</v>
      </c>
      <c r="C5" s="16">
        <v>0.08</v>
      </c>
      <c r="D5" s="17">
        <f t="shared" ref="D5:D15" si="0">B5*C5</f>
        <v>0.79200000000000004</v>
      </c>
    </row>
    <row r="6" spans="1:4">
      <c r="A6" s="4" t="s">
        <v>62</v>
      </c>
      <c r="B6" s="15">
        <v>3.2</v>
      </c>
      <c r="C6" s="16">
        <v>0.13</v>
      </c>
      <c r="D6" s="17">
        <f t="shared" si="0"/>
        <v>0.41600000000000004</v>
      </c>
    </row>
    <row r="7" spans="1:4">
      <c r="A7" s="4" t="s">
        <v>63</v>
      </c>
      <c r="B7" s="15">
        <v>2</v>
      </c>
      <c r="C7" s="16">
        <v>2.3E-2</v>
      </c>
      <c r="D7" s="17">
        <f t="shared" si="0"/>
        <v>4.5999999999999999E-2</v>
      </c>
    </row>
    <row r="8" spans="1:4">
      <c r="A8" s="4" t="s">
        <v>64</v>
      </c>
      <c r="B8" s="15">
        <v>0.3</v>
      </c>
      <c r="C8" s="16">
        <v>0.15</v>
      </c>
      <c r="D8" s="17">
        <f t="shared" si="0"/>
        <v>4.4999999999999998E-2</v>
      </c>
    </row>
    <row r="9" spans="1:4">
      <c r="A9" s="4" t="s">
        <v>65</v>
      </c>
      <c r="B9" s="15">
        <v>-1.4</v>
      </c>
      <c r="C9" s="16">
        <v>0.04</v>
      </c>
      <c r="D9" s="17">
        <f t="shared" si="0"/>
        <v>-5.5999999999999994E-2</v>
      </c>
    </row>
    <row r="10" spans="1:4">
      <c r="A10" s="4" t="s">
        <v>66</v>
      </c>
      <c r="B10" s="15">
        <v>-2.6</v>
      </c>
      <c r="C10" s="16">
        <v>3.2000000000000001E-2</v>
      </c>
      <c r="D10" s="17">
        <f t="shared" si="0"/>
        <v>-8.320000000000001E-2</v>
      </c>
    </row>
    <row r="11" spans="1:4">
      <c r="A11" s="4" t="s">
        <v>67</v>
      </c>
      <c r="B11" s="15">
        <v>-4.3</v>
      </c>
      <c r="C11" s="16">
        <v>0.15</v>
      </c>
      <c r="D11" s="17">
        <f t="shared" si="0"/>
        <v>-0.64499999999999991</v>
      </c>
    </row>
    <row r="12" spans="1:4">
      <c r="A12" s="4" t="s">
        <v>68</v>
      </c>
      <c r="B12" s="15">
        <v>-7.7</v>
      </c>
      <c r="C12" s="16">
        <v>0.11</v>
      </c>
      <c r="D12" s="17">
        <f t="shared" si="0"/>
        <v>-0.84699999999999998</v>
      </c>
    </row>
    <row r="13" spans="1:4">
      <c r="A13" s="4" t="s">
        <v>69</v>
      </c>
      <c r="B13" s="15">
        <v>-8.6</v>
      </c>
      <c r="C13" s="16">
        <v>0.09</v>
      </c>
      <c r="D13" s="17">
        <f t="shared" si="0"/>
        <v>-0.77399999999999991</v>
      </c>
    </row>
    <row r="14" spans="1:4">
      <c r="A14" s="4" t="s">
        <v>70</v>
      </c>
      <c r="B14" s="15">
        <v>-9.5</v>
      </c>
      <c r="C14" s="16">
        <v>0.11</v>
      </c>
      <c r="D14" s="17">
        <f t="shared" si="0"/>
        <v>-1.0449999999999999</v>
      </c>
    </row>
    <row r="15" spans="1:4">
      <c r="A15" s="4" t="s">
        <v>71</v>
      </c>
      <c r="B15" s="15">
        <v>-27.3</v>
      </c>
      <c r="C15" s="16">
        <v>3.5000000000000003E-2</v>
      </c>
      <c r="D15" s="17">
        <f t="shared" si="0"/>
        <v>-0.95550000000000013</v>
      </c>
    </row>
    <row r="16" spans="1:4">
      <c r="A16" s="3" t="s">
        <v>72</v>
      </c>
      <c r="C16" s="18">
        <f>SUM(C5:C15)</f>
        <v>0.95</v>
      </c>
      <c r="D16" s="19">
        <f>SUM(D5:D15)</f>
        <v>-3.1066999999999996</v>
      </c>
    </row>
    <row r="17" spans="1:4">
      <c r="A17" s="3" t="s">
        <v>73</v>
      </c>
      <c r="B17" s="20">
        <v>-3.34</v>
      </c>
    </row>
    <row r="18" spans="1:4">
      <c r="A18" s="4" t="s">
        <v>74</v>
      </c>
      <c r="D18" s="17">
        <f>D16-B17</f>
        <v>0.23330000000000028</v>
      </c>
    </row>
    <row r="20" spans="1:4">
      <c r="A20" s="2" t="s">
        <v>75</v>
      </c>
    </row>
    <row r="21" spans="1:4">
      <c r="A21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PIB trimestral</vt:lpstr>
      <vt:lpstr>IpAEC ene-jun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Augusto Aranda Herrera</cp:lastModifiedBy>
  <dcterms:created xsi:type="dcterms:W3CDTF">2026-08-18T17:20:34Z</dcterms:created>
  <dcterms:modified xsi:type="dcterms:W3CDTF">2026-08-18T19:20:04Z</dcterms:modified>
</cp:coreProperties>
</file>