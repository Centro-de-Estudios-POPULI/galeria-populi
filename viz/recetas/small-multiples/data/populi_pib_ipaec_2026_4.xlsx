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8cedbeddb8fd8ff/Desktop/"/>
    </mc:Choice>
  </mc:AlternateContent>
  <xr:revisionPtr revIDLastSave="0" documentId="8_{818F1A22-3B77-46A6-880B-D4622D00AF00}" xr6:coauthVersionLast="47" xr6:coauthVersionMax="47" xr10:uidLastSave="{00000000-0000-0000-0000-000000000000}"/>
  <bookViews>
    <workbookView xWindow="-108" yWindow="-108" windowWidth="23256" windowHeight="12456" tabRatio="500" firstSheet="2" activeTab="4" xr2:uid="{00000000-000D-0000-FFFF-FFFF00000000}"/>
  </bookViews>
  <sheets>
    <sheet name="PIB trimestral" sheetId="1" r:id="rId1"/>
    <sheet name="IpAEC ene-jun 2026" sheetId="2" r:id="rId2"/>
    <sheet name="PIB primer semestre" sheetId="3" r:id="rId3"/>
    <sheet name="INE trimestral sectorial" sheetId="4" r:id="rId4"/>
    <sheet name="Sectorial semestr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92" i="5" l="1"/>
  <c r="A91" i="5"/>
  <c r="J90" i="5"/>
  <c r="A90" i="5"/>
  <c r="I89" i="5"/>
  <c r="A89" i="5"/>
  <c r="A88" i="5"/>
  <c r="A87" i="5"/>
  <c r="J86" i="5"/>
  <c r="F86" i="5"/>
  <c r="A86" i="5"/>
  <c r="I85" i="5"/>
  <c r="E85" i="5"/>
  <c r="A85" i="5"/>
  <c r="H84" i="5"/>
  <c r="A84" i="5"/>
  <c r="G83" i="5"/>
  <c r="A83" i="5"/>
  <c r="F82" i="5"/>
  <c r="A82" i="5"/>
  <c r="A74" i="5"/>
  <c r="K73" i="5"/>
  <c r="A73" i="5"/>
  <c r="A72" i="5"/>
  <c r="I71" i="5"/>
  <c r="A71" i="5"/>
  <c r="H70" i="5"/>
  <c r="A70" i="5"/>
  <c r="A69" i="5"/>
  <c r="A68" i="5"/>
  <c r="I67" i="5"/>
  <c r="E67" i="5"/>
  <c r="A67" i="5"/>
  <c r="D66" i="5"/>
  <c r="A66" i="5"/>
  <c r="G65" i="5"/>
  <c r="C65" i="5"/>
  <c r="A65" i="5"/>
  <c r="F64" i="5"/>
  <c r="A64" i="5"/>
  <c r="L35" i="5"/>
  <c r="D35" i="5"/>
  <c r="H33" i="5"/>
  <c r="F32" i="5"/>
  <c r="H31" i="5"/>
  <c r="D31" i="5"/>
  <c r="F30" i="5"/>
  <c r="L29" i="5"/>
  <c r="D29" i="5"/>
  <c r="H27" i="5"/>
  <c r="F26" i="5"/>
  <c r="H25" i="5"/>
  <c r="D25" i="5"/>
  <c r="F20" i="5"/>
  <c r="K18" i="5"/>
  <c r="J18" i="5"/>
  <c r="I18" i="5"/>
  <c r="H18" i="5"/>
  <c r="G18" i="5"/>
  <c r="F18" i="5"/>
  <c r="E18" i="5"/>
  <c r="D18" i="5"/>
  <c r="C18" i="5"/>
  <c r="L16" i="5"/>
  <c r="B51" i="5" s="1"/>
  <c r="K16" i="5"/>
  <c r="J16" i="5"/>
  <c r="I92" i="5" s="1"/>
  <c r="I16" i="5"/>
  <c r="I74" i="5" s="1"/>
  <c r="H16" i="5"/>
  <c r="H74" i="5" s="1"/>
  <c r="G16" i="5"/>
  <c r="G74" i="5" s="1"/>
  <c r="F16" i="5"/>
  <c r="F74" i="5" s="1"/>
  <c r="E16" i="5"/>
  <c r="D92" i="5" s="1"/>
  <c r="D16" i="5"/>
  <c r="C92" i="5" s="1"/>
  <c r="B92" i="5" s="1"/>
  <c r="C16" i="5"/>
  <c r="C74" i="5" s="1"/>
  <c r="K15" i="5"/>
  <c r="L15" i="5" s="1"/>
  <c r="J15" i="5"/>
  <c r="J73" i="5" s="1"/>
  <c r="I15" i="5"/>
  <c r="H91" i="5" s="1"/>
  <c r="H15" i="5"/>
  <c r="H73" i="5" s="1"/>
  <c r="G15" i="5"/>
  <c r="G34" i="5" s="1"/>
  <c r="F15" i="5"/>
  <c r="F34" i="5" s="1"/>
  <c r="E15" i="5"/>
  <c r="E34" i="5" s="1"/>
  <c r="D15" i="5"/>
  <c r="D34" i="5" s="1"/>
  <c r="C15" i="5"/>
  <c r="C73" i="5" s="1"/>
  <c r="K14" i="5"/>
  <c r="K33" i="5" s="1"/>
  <c r="J14" i="5"/>
  <c r="J33" i="5" s="1"/>
  <c r="I14" i="5"/>
  <c r="I33" i="5" s="1"/>
  <c r="H14" i="5"/>
  <c r="G90" i="5" s="1"/>
  <c r="G14" i="5"/>
  <c r="G72" i="5" s="1"/>
  <c r="F14" i="5"/>
  <c r="F72" i="5" s="1"/>
  <c r="E14" i="5"/>
  <c r="E33" i="5" s="1"/>
  <c r="D14" i="5"/>
  <c r="D33" i="5" s="1"/>
  <c r="C14" i="5"/>
  <c r="C33" i="5" s="1"/>
  <c r="K13" i="5"/>
  <c r="J13" i="5"/>
  <c r="J71" i="5" s="1"/>
  <c r="I13" i="5"/>
  <c r="I32" i="5" s="1"/>
  <c r="H13" i="5"/>
  <c r="H32" i="5" s="1"/>
  <c r="G13" i="5"/>
  <c r="F89" i="5" s="1"/>
  <c r="F13" i="5"/>
  <c r="F71" i="5" s="1"/>
  <c r="E13" i="5"/>
  <c r="E71" i="5" s="1"/>
  <c r="D13" i="5"/>
  <c r="D71" i="5" s="1"/>
  <c r="C13" i="5"/>
  <c r="C32" i="5" s="1"/>
  <c r="K12" i="5"/>
  <c r="K31" i="5" s="1"/>
  <c r="J12" i="5"/>
  <c r="J31" i="5" s="1"/>
  <c r="I12" i="5"/>
  <c r="I31" i="5" s="1"/>
  <c r="H12" i="5"/>
  <c r="G88" i="5" s="1"/>
  <c r="G12" i="5"/>
  <c r="G31" i="5" s="1"/>
  <c r="F12" i="5"/>
  <c r="E88" i="5" s="1"/>
  <c r="E12" i="5"/>
  <c r="E70" i="5" s="1"/>
  <c r="D12" i="5"/>
  <c r="D70" i="5" s="1"/>
  <c r="C12" i="5"/>
  <c r="C70" i="5" s="1"/>
  <c r="K11" i="5"/>
  <c r="K30" i="5" s="1"/>
  <c r="J11" i="5"/>
  <c r="J30" i="5" s="1"/>
  <c r="I11" i="5"/>
  <c r="I30" i="5" s="1"/>
  <c r="H11" i="5"/>
  <c r="H30" i="5" s="1"/>
  <c r="G11" i="5"/>
  <c r="G30" i="5" s="1"/>
  <c r="F11" i="5"/>
  <c r="F69" i="5" s="1"/>
  <c r="E11" i="5"/>
  <c r="D87" i="5" s="1"/>
  <c r="D11" i="5"/>
  <c r="D69" i="5" s="1"/>
  <c r="C11" i="5"/>
  <c r="C69" i="5" s="1"/>
  <c r="L10" i="5"/>
  <c r="L68" i="5" s="1"/>
  <c r="K10" i="5"/>
  <c r="K68" i="5" s="1"/>
  <c r="J10" i="5"/>
  <c r="I86" i="5" s="1"/>
  <c r="I10" i="5"/>
  <c r="I29" i="5" s="1"/>
  <c r="H10" i="5"/>
  <c r="H29" i="5" s="1"/>
  <c r="G10" i="5"/>
  <c r="G29" i="5" s="1"/>
  <c r="F10" i="5"/>
  <c r="F29" i="5" s="1"/>
  <c r="E10" i="5"/>
  <c r="J68" i="5" s="1"/>
  <c r="D10" i="5"/>
  <c r="C86" i="5" s="1"/>
  <c r="C10" i="5"/>
  <c r="C68" i="5" s="1"/>
  <c r="K9" i="5"/>
  <c r="J9" i="5"/>
  <c r="J67" i="5" s="1"/>
  <c r="I9" i="5"/>
  <c r="H85" i="5" s="1"/>
  <c r="H9" i="5"/>
  <c r="H67" i="5" s="1"/>
  <c r="G9" i="5"/>
  <c r="G28" i="5" s="1"/>
  <c r="F9" i="5"/>
  <c r="F28" i="5" s="1"/>
  <c r="E9" i="5"/>
  <c r="E28" i="5" s="1"/>
  <c r="D9" i="5"/>
  <c r="D28" i="5" s="1"/>
  <c r="C9" i="5"/>
  <c r="C28" i="5" s="1"/>
  <c r="K8" i="5"/>
  <c r="K66" i="5" s="1"/>
  <c r="J8" i="5"/>
  <c r="J66" i="5" s="1"/>
  <c r="I8" i="5"/>
  <c r="I66" i="5" s="1"/>
  <c r="H8" i="5"/>
  <c r="G84" i="5" s="1"/>
  <c r="G8" i="5"/>
  <c r="G66" i="5" s="1"/>
  <c r="F8" i="5"/>
  <c r="F66" i="5" s="1"/>
  <c r="E8" i="5"/>
  <c r="E27" i="5" s="1"/>
  <c r="D8" i="5"/>
  <c r="D27" i="5" s="1"/>
  <c r="C8" i="5"/>
  <c r="C27" i="5" s="1"/>
  <c r="K7" i="5"/>
  <c r="K65" i="5" s="1"/>
  <c r="J7" i="5"/>
  <c r="J65" i="5" s="1"/>
  <c r="I7" i="5"/>
  <c r="I65" i="5" s="1"/>
  <c r="H7" i="5"/>
  <c r="H65" i="5" s="1"/>
  <c r="G7" i="5"/>
  <c r="F83" i="5" s="1"/>
  <c r="F7" i="5"/>
  <c r="F65" i="5" s="1"/>
  <c r="E7" i="5"/>
  <c r="E65" i="5" s="1"/>
  <c r="D7" i="5"/>
  <c r="D65" i="5" s="1"/>
  <c r="C7" i="5"/>
  <c r="C26" i="5" s="1"/>
  <c r="K6" i="5"/>
  <c r="K64" i="5" s="1"/>
  <c r="J6" i="5"/>
  <c r="J64" i="5" s="1"/>
  <c r="I6" i="5"/>
  <c r="I64" i="5" s="1"/>
  <c r="H6" i="5"/>
  <c r="H64" i="5" s="1"/>
  <c r="G6" i="5"/>
  <c r="G64" i="5" s="1"/>
  <c r="F6" i="5"/>
  <c r="E82" i="5" s="1"/>
  <c r="E6" i="5"/>
  <c r="E64" i="5" s="1"/>
  <c r="D6" i="5"/>
  <c r="D17" i="5" s="1"/>
  <c r="D19" i="5" s="1"/>
  <c r="C6" i="5"/>
  <c r="C17" i="5" s="1"/>
  <c r="C19" i="5" s="1"/>
  <c r="B13" i="3"/>
  <c r="K20" i="5" s="1"/>
  <c r="B12" i="3"/>
  <c r="J20" i="5" s="1"/>
  <c r="B11" i="3"/>
  <c r="D11" i="3" s="1"/>
  <c r="C10" i="3"/>
  <c r="B10" i="3"/>
  <c r="H20" i="5" s="1"/>
  <c r="B9" i="3"/>
  <c r="G20" i="5" s="1"/>
  <c r="B8" i="3"/>
  <c r="D8" i="3" s="1"/>
  <c r="B7" i="3"/>
  <c r="D7" i="3" s="1"/>
  <c r="C6" i="3"/>
  <c r="B6" i="3"/>
  <c r="D6" i="3" s="1"/>
  <c r="B5" i="3"/>
  <c r="C11" i="3" s="1"/>
  <c r="C16" i="2"/>
  <c r="D15" i="2"/>
  <c r="D14" i="2"/>
  <c r="D13" i="2"/>
  <c r="D12" i="2"/>
  <c r="D11" i="2"/>
  <c r="D10" i="2"/>
  <c r="D9" i="2"/>
  <c r="D8" i="2"/>
  <c r="D7" i="2"/>
  <c r="D6" i="2"/>
  <c r="D5" i="2"/>
  <c r="D16" i="2" s="1"/>
  <c r="D18" i="2" s="1"/>
  <c r="E45" i="1"/>
  <c r="D45" i="1"/>
  <c r="G44" i="1"/>
  <c r="F44" i="1"/>
  <c r="E44" i="1"/>
  <c r="G43" i="1"/>
  <c r="F43" i="1"/>
  <c r="E43" i="1"/>
  <c r="G42" i="1"/>
  <c r="F42" i="1"/>
  <c r="E42" i="1"/>
  <c r="G41" i="1"/>
  <c r="F41" i="1"/>
  <c r="E41" i="1"/>
  <c r="G40" i="1"/>
  <c r="F40" i="1"/>
  <c r="E40" i="1"/>
  <c r="G39" i="1"/>
  <c r="F39" i="1"/>
  <c r="E39" i="1"/>
  <c r="G38" i="1"/>
  <c r="F38" i="1"/>
  <c r="E38" i="1"/>
  <c r="G37" i="1"/>
  <c r="F37" i="1"/>
  <c r="E37" i="1"/>
  <c r="G36" i="1"/>
  <c r="F36" i="1"/>
  <c r="E36" i="1"/>
  <c r="G35" i="1"/>
  <c r="F35" i="1"/>
  <c r="E35" i="1"/>
  <c r="G34" i="1"/>
  <c r="F34" i="1"/>
  <c r="E34" i="1"/>
  <c r="G33" i="1"/>
  <c r="F33" i="1"/>
  <c r="E33" i="1"/>
  <c r="G32" i="1"/>
  <c r="F32" i="1"/>
  <c r="E32" i="1"/>
  <c r="G31" i="1"/>
  <c r="F31" i="1"/>
  <c r="E31" i="1"/>
  <c r="G30" i="1"/>
  <c r="F30" i="1"/>
  <c r="E30" i="1"/>
  <c r="G29" i="1"/>
  <c r="F29" i="1"/>
  <c r="E29" i="1"/>
  <c r="G28" i="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F15" i="1"/>
  <c r="E15" i="1"/>
  <c r="F14" i="1"/>
  <c r="E14" i="1"/>
  <c r="F13" i="1"/>
  <c r="E13" i="1"/>
  <c r="J93" i="5" l="1"/>
  <c r="C49" i="5"/>
  <c r="C45" i="5"/>
  <c r="C41" i="5"/>
  <c r="C44" i="5"/>
  <c r="C48" i="5"/>
  <c r="J75" i="5"/>
  <c r="J36" i="5"/>
  <c r="I93" i="5"/>
  <c r="C51" i="5"/>
  <c r="D51" i="5"/>
  <c r="B50" i="5"/>
  <c r="D50" i="5" s="1"/>
  <c r="L34" i="5"/>
  <c r="L73" i="5"/>
  <c r="K91" i="5"/>
  <c r="G75" i="5"/>
  <c r="G36" i="5"/>
  <c r="F93" i="5"/>
  <c r="H75" i="5"/>
  <c r="G93" i="5"/>
  <c r="J28" i="5"/>
  <c r="K17" i="5"/>
  <c r="K19" i="5" s="1"/>
  <c r="K69" i="5"/>
  <c r="C91" i="5"/>
  <c r="G46" i="1"/>
  <c r="C8" i="3"/>
  <c r="C12" i="3"/>
  <c r="E17" i="5"/>
  <c r="E19" i="5" s="1"/>
  <c r="D26" i="5"/>
  <c r="F27" i="5"/>
  <c r="H28" i="5"/>
  <c r="J29" i="5"/>
  <c r="D32" i="5"/>
  <c r="F33" i="5"/>
  <c r="H34" i="5"/>
  <c r="J35" i="5"/>
  <c r="C67" i="5"/>
  <c r="D68" i="5"/>
  <c r="E69" i="5"/>
  <c r="F70" i="5"/>
  <c r="G71" i="5"/>
  <c r="H72" i="5"/>
  <c r="I73" i="5"/>
  <c r="J74" i="5"/>
  <c r="C85" i="5"/>
  <c r="D86" i="5"/>
  <c r="B86" i="5" s="1"/>
  <c r="E87" i="5"/>
  <c r="F88" i="5"/>
  <c r="G89" i="5"/>
  <c r="H90" i="5"/>
  <c r="I91" i="5"/>
  <c r="J92" i="5"/>
  <c r="G17" i="5"/>
  <c r="G19" i="5" s="1"/>
  <c r="J26" i="5"/>
  <c r="D74" i="5"/>
  <c r="D12" i="3"/>
  <c r="L8" i="5"/>
  <c r="L14" i="5"/>
  <c r="F17" i="5"/>
  <c r="F19" i="5" s="1"/>
  <c r="C25" i="5"/>
  <c r="E26" i="5"/>
  <c r="G27" i="5"/>
  <c r="I28" i="5"/>
  <c r="K29" i="5"/>
  <c r="C31" i="5"/>
  <c r="E32" i="5"/>
  <c r="G33" i="5"/>
  <c r="I34" i="5"/>
  <c r="K35" i="5"/>
  <c r="B45" i="5"/>
  <c r="D45" i="5" s="1"/>
  <c r="C66" i="5"/>
  <c r="D67" i="5"/>
  <c r="E68" i="5"/>
  <c r="G70" i="5"/>
  <c r="H71" i="5"/>
  <c r="I72" i="5"/>
  <c r="K74" i="5"/>
  <c r="C84" i="5"/>
  <c r="B84" i="5" s="1"/>
  <c r="D85" i="5"/>
  <c r="E86" i="5"/>
  <c r="F87" i="5"/>
  <c r="H89" i="5"/>
  <c r="I90" i="5"/>
  <c r="J91" i="5"/>
  <c r="K92" i="5"/>
  <c r="D84" i="5"/>
  <c r="H88" i="5"/>
  <c r="C9" i="3"/>
  <c r="C13" i="3"/>
  <c r="L7" i="5"/>
  <c r="L13" i="5"/>
  <c r="H17" i="5"/>
  <c r="H19" i="5" s="1"/>
  <c r="C20" i="5"/>
  <c r="E25" i="5"/>
  <c r="G26" i="5"/>
  <c r="I27" i="5"/>
  <c r="K28" i="5"/>
  <c r="C30" i="5"/>
  <c r="E31" i="5"/>
  <c r="G32" i="5"/>
  <c r="K34" i="5"/>
  <c r="C64" i="5"/>
  <c r="E66" i="5"/>
  <c r="F67" i="5"/>
  <c r="G68" i="5"/>
  <c r="H69" i="5"/>
  <c r="I70" i="5"/>
  <c r="K72" i="5"/>
  <c r="C82" i="5"/>
  <c r="B82" i="5" s="1"/>
  <c r="D83" i="5"/>
  <c r="E84" i="5"/>
  <c r="F85" i="5"/>
  <c r="G86" i="5"/>
  <c r="H87" i="5"/>
  <c r="I88" i="5"/>
  <c r="J89" i="5"/>
  <c r="C5" i="3"/>
  <c r="D9" i="3"/>
  <c r="D13" i="3"/>
  <c r="I17" i="5"/>
  <c r="I19" i="5" s="1"/>
  <c r="D20" i="5"/>
  <c r="F25" i="5"/>
  <c r="H26" i="5"/>
  <c r="J27" i="5"/>
  <c r="D30" i="5"/>
  <c r="F31" i="5"/>
  <c r="D64" i="5"/>
  <c r="G67" i="5"/>
  <c r="H68" i="5"/>
  <c r="I69" i="5"/>
  <c r="J70" i="5"/>
  <c r="K71" i="5"/>
  <c r="D82" i="5"/>
  <c r="E83" i="5"/>
  <c r="F84" i="5"/>
  <c r="G85" i="5"/>
  <c r="H86" i="5"/>
  <c r="I87" i="5"/>
  <c r="J88" i="5"/>
  <c r="J34" i="5"/>
  <c r="F68" i="5"/>
  <c r="G69" i="5"/>
  <c r="J72" i="5"/>
  <c r="L74" i="5"/>
  <c r="C83" i="5"/>
  <c r="B83" i="5" s="1"/>
  <c r="G87" i="5"/>
  <c r="B14" i="3"/>
  <c r="L6" i="5"/>
  <c r="L12" i="5"/>
  <c r="J17" i="5"/>
  <c r="J19" i="5" s="1"/>
  <c r="E20" i="5"/>
  <c r="K75" i="5" s="1"/>
  <c r="G25" i="5"/>
  <c r="I26" i="5"/>
  <c r="K27" i="5"/>
  <c r="C29" i="5"/>
  <c r="E30" i="5"/>
  <c r="C35" i="5"/>
  <c r="C42" i="5"/>
  <c r="C46" i="5"/>
  <c r="C50" i="5"/>
  <c r="I68" i="5"/>
  <c r="J69" i="5"/>
  <c r="K70" i="5"/>
  <c r="J87" i="5"/>
  <c r="E93" i="5"/>
  <c r="F45" i="1"/>
  <c r="D10" i="3"/>
  <c r="L11" i="5"/>
  <c r="I25" i="5"/>
  <c r="K26" i="5"/>
  <c r="E29" i="5"/>
  <c r="K32" i="5"/>
  <c r="C34" i="5"/>
  <c r="E35" i="5"/>
  <c r="C72" i="5"/>
  <c r="D73" i="5"/>
  <c r="E74" i="5"/>
  <c r="G82" i="5"/>
  <c r="H83" i="5"/>
  <c r="I84" i="5"/>
  <c r="J85" i="5"/>
  <c r="K86" i="5"/>
  <c r="C90" i="5"/>
  <c r="B90" i="5" s="1"/>
  <c r="D91" i="5"/>
  <c r="E92" i="5"/>
  <c r="G45" i="1"/>
  <c r="J25" i="5"/>
  <c r="F35" i="5"/>
  <c r="C43" i="5"/>
  <c r="C47" i="5"/>
  <c r="K67" i="5"/>
  <c r="C71" i="5"/>
  <c r="D72" i="5"/>
  <c r="E73" i="5"/>
  <c r="H82" i="5"/>
  <c r="I83" i="5"/>
  <c r="J84" i="5"/>
  <c r="C89" i="5"/>
  <c r="B89" i="5" s="1"/>
  <c r="D90" i="5"/>
  <c r="E91" i="5"/>
  <c r="F92" i="5"/>
  <c r="D46" i="1"/>
  <c r="E46" i="1" s="1"/>
  <c r="C7" i="3"/>
  <c r="I20" i="5"/>
  <c r="K25" i="5"/>
  <c r="G35" i="5"/>
  <c r="E72" i="5"/>
  <c r="F73" i="5"/>
  <c r="I82" i="5"/>
  <c r="J83" i="5"/>
  <c r="C88" i="5"/>
  <c r="D89" i="5"/>
  <c r="E90" i="5"/>
  <c r="F91" i="5"/>
  <c r="G92" i="5"/>
  <c r="F36" i="5"/>
  <c r="H66" i="5"/>
  <c r="H35" i="5"/>
  <c r="G73" i="5"/>
  <c r="J82" i="5"/>
  <c r="C87" i="5"/>
  <c r="B87" i="5" s="1"/>
  <c r="D88" i="5"/>
  <c r="E89" i="5"/>
  <c r="F90" i="5"/>
  <c r="G91" i="5"/>
  <c r="H92" i="5"/>
  <c r="J32" i="5"/>
  <c r="L9" i="5"/>
  <c r="I35" i="5"/>
  <c r="C14" i="3" l="1"/>
  <c r="D14" i="3"/>
  <c r="L20" i="5"/>
  <c r="L70" i="5"/>
  <c r="L31" i="5"/>
  <c r="B47" i="5"/>
  <c r="D47" i="5" s="1"/>
  <c r="K88" i="5"/>
  <c r="K82" i="5"/>
  <c r="L25" i="5"/>
  <c r="L17" i="5"/>
  <c r="B41" i="5"/>
  <c r="D41" i="5" s="1"/>
  <c r="D52" i="5" s="1"/>
  <c r="L64" i="5"/>
  <c r="D75" i="5"/>
  <c r="D36" i="5"/>
  <c r="C93" i="5"/>
  <c r="B93" i="5" s="1"/>
  <c r="B44" i="5"/>
  <c r="D44" i="5" s="1"/>
  <c r="L67" i="5"/>
  <c r="K85" i="5"/>
  <c r="L28" i="5"/>
  <c r="K87" i="5"/>
  <c r="L69" i="5"/>
  <c r="B46" i="5"/>
  <c r="D46" i="5" s="1"/>
  <c r="L30" i="5"/>
  <c r="B91" i="5"/>
  <c r="C52" i="5"/>
  <c r="L65" i="5"/>
  <c r="K83" i="5"/>
  <c r="L26" i="5"/>
  <c r="B42" i="5"/>
  <c r="D42" i="5" s="1"/>
  <c r="L33" i="5"/>
  <c r="L72" i="5"/>
  <c r="K90" i="5"/>
  <c r="B49" i="5"/>
  <c r="D49" i="5" s="1"/>
  <c r="F75" i="5"/>
  <c r="I75" i="5"/>
  <c r="I36" i="5"/>
  <c r="H93" i="5"/>
  <c r="C75" i="5"/>
  <c r="C36" i="5"/>
  <c r="L27" i="5"/>
  <c r="L66" i="5"/>
  <c r="K84" i="5"/>
  <c r="B43" i="5"/>
  <c r="D43" i="5" s="1"/>
  <c r="B85" i="5"/>
  <c r="K36" i="5"/>
  <c r="B88" i="5"/>
  <c r="E75" i="5"/>
  <c r="E36" i="5"/>
  <c r="D93" i="5"/>
  <c r="B48" i="5"/>
  <c r="D48" i="5" s="1"/>
  <c r="L32" i="5"/>
  <c r="L71" i="5"/>
  <c r="K89" i="5"/>
  <c r="H36" i="5"/>
  <c r="F46" i="1"/>
  <c r="K93" i="5" l="1"/>
  <c r="L18" i="5"/>
  <c r="L75" i="5"/>
  <c r="D53" i="5"/>
  <c r="D54" i="5" s="1"/>
  <c r="L36" i="5"/>
</calcChain>
</file>

<file path=xl/sharedStrings.xml><?xml version="1.0" encoding="utf-8"?>
<sst xmlns="http://schemas.openxmlformats.org/spreadsheetml/2006/main" count="282" uniqueCount="132">
  <si>
    <t>Producto Interno Bruto trimestral a precios de mercado — variaciones</t>
  </si>
  <si>
    <t>Fuente: serie proporcionada por el usuario (INE). Celdas en azul = dato de entrada.</t>
  </si>
  <si>
    <t>Acumuladas 2026 proporcionadas (entrada)</t>
  </si>
  <si>
    <t>2026 I</t>
  </si>
  <si>
    <t>2026 II</t>
  </si>
  <si>
    <t>Año</t>
  </si>
  <si>
    <t>Trimestre</t>
  </si>
  <si>
    <t>Periodo</t>
  </si>
  <si>
    <t>PIB (nivel)</t>
  </si>
  <si>
    <t>Var. interanual</t>
  </si>
  <si>
    <t>Var. acumulada</t>
  </si>
  <si>
    <t>Var. 12 meses</t>
  </si>
  <si>
    <t>I</t>
  </si>
  <si>
    <t>2017 I</t>
  </si>
  <si>
    <t>II</t>
  </si>
  <si>
    <t>2017 II</t>
  </si>
  <si>
    <t>III</t>
  </si>
  <si>
    <t>2017 III</t>
  </si>
  <si>
    <t>IV</t>
  </si>
  <si>
    <t>2017 IV</t>
  </si>
  <si>
    <t>2018 I</t>
  </si>
  <si>
    <t>2018 II</t>
  </si>
  <si>
    <t>2018 III</t>
  </si>
  <si>
    <t>2018 IV</t>
  </si>
  <si>
    <t>2019 I</t>
  </si>
  <si>
    <t>2019 II</t>
  </si>
  <si>
    <t>2019 III</t>
  </si>
  <si>
    <t>2019 IV</t>
  </si>
  <si>
    <t>2020 I</t>
  </si>
  <si>
    <t>2020 II</t>
  </si>
  <si>
    <t>2020 III</t>
  </si>
  <si>
    <t>2020 IV</t>
  </si>
  <si>
    <t>2021 I</t>
  </si>
  <si>
    <t>2021 II</t>
  </si>
  <si>
    <t>2021 III</t>
  </si>
  <si>
    <t>2021 IV</t>
  </si>
  <si>
    <t>2022 I</t>
  </si>
  <si>
    <t>2022 II</t>
  </si>
  <si>
    <t>2022 III</t>
  </si>
  <si>
    <t>2022 IV</t>
  </si>
  <si>
    <t>2023 I</t>
  </si>
  <si>
    <t>2023 II</t>
  </si>
  <si>
    <t>2023 III</t>
  </si>
  <si>
    <t>2023 IV</t>
  </si>
  <si>
    <t>2024 I</t>
  </si>
  <si>
    <t>2024 II</t>
  </si>
  <si>
    <t>2024 III</t>
  </si>
  <si>
    <t>2024 IV</t>
  </si>
  <si>
    <t>2025 I</t>
  </si>
  <si>
    <t>2025 II</t>
  </si>
  <si>
    <t>2025 III</t>
  </si>
  <si>
    <t>2025 IV</t>
  </si>
  <si>
    <t>Definiciones: interanual = t/t-4. Acumulada = suma del año corrido vs igual periodo del año anterior. 12 meses = suma móvil de 4 trimestres vs los 4 previos.</t>
  </si>
  <si>
    <t>Control: en cada IV trimestre la acumulada y la de 12 meses deben coincidir.</t>
  </si>
  <si>
    <t>Niveles 2026 I y II despejados de las acumuladas proporcionadas; margen por redondeo ±8 unidades.</t>
  </si>
  <si>
    <t>Indicador proxy de Actividad Económica (IpAEC) — variación acumulada enero–junio 2026</t>
  </si>
  <si>
    <t>Datos de variación: Gráfico 1.11 (imagen proporcionada). Ponderaciones: SUPUESTO propio, no oficial.</t>
  </si>
  <si>
    <t>Actividad económica</t>
  </si>
  <si>
    <t>Var. acumulada (%)</t>
  </si>
  <si>
    <t>Ponderación supuesta</t>
  </si>
  <si>
    <t>Contribución aprox. (pp)</t>
  </si>
  <si>
    <t>Actividad extractiva</t>
  </si>
  <si>
    <t>Agricultura, ganadería, silvicultura y pesca</t>
  </si>
  <si>
    <t>Suministro de electricidad, agua y recolección de desechos sólidos</t>
  </si>
  <si>
    <t>Administración pública, salud y educación de no mercado</t>
  </si>
  <si>
    <t>Actividades comunales sociales (**)</t>
  </si>
  <si>
    <t>Actividades de alojamiento y servicio de comidas y bebidas</t>
  </si>
  <si>
    <t>Actividades financieras y de seguros, inmobiliarias (*)</t>
  </si>
  <si>
    <t>Industrias manufactureras</t>
  </si>
  <si>
    <t>Comercio</t>
  </si>
  <si>
    <t>Transporte y comunicaciones</t>
  </si>
  <si>
    <t>Construcción</t>
  </si>
  <si>
    <t>Suma de contribuciones estimadas</t>
  </si>
  <si>
    <t>Total IpAEC publicado (ene–jun 2026)</t>
  </si>
  <si>
    <t>Discrepancia (suma estimada - total publicado)</t>
  </si>
  <si>
    <t>(*) y (**): la fuente reagrupa actividades respecto de la clasificación estándar del INE; revisar la nota al pie del documento original antes de comparar con series históricas.</t>
  </si>
  <si>
    <t>Las ponderaciones de la columna C son supuestos aproximados de la estructura del PIB boliviano, editables. Reemplazar por las ponderaciones oficiales del INE recalcula las contribuciones.</t>
  </si>
  <si>
    <t>PIB acumulado del primer semestre (I + II trimestre) — índice 2017 = 100</t>
  </si>
  <si>
    <t>Calculado por fórmula desde la hoja 'PIB trimestral'. No editar las columnas B a D.</t>
  </si>
  <si>
    <t>PIB I+II trimestre</t>
  </si>
  <si>
    <t>Índice 2017 = 100</t>
  </si>
  <si>
    <t>Var. interanual del semestre</t>
  </si>
  <si>
    <t>Nota: el semestre de 2026 incorpora los niveles derivados de las variaciones acumuladas publicadas; su nivel es estimado, no dato oficial del INE.</t>
  </si>
  <si>
    <t>El índice permite comparar el tamaño de la economía en la primera mitad de cada año, aislando el efecto estacional al comparar siempre los mismos dos trimestres.</t>
  </si>
  <si>
    <t>Bolivia: medidas de volumen encadenadas del PIB por grupo de actividad, trimestral 2017–2025</t>
  </si>
  <si>
    <t>Millones de bolivianos encadenados. Copia literal de INE, Cuadro 02.01. No modificar.</t>
  </si>
  <si>
    <t>Electricidad, agua y recolección de desechos</t>
  </si>
  <si>
    <t>Administración pública, salud y educación</t>
  </si>
  <si>
    <t>Actividades comunales, sociales y personales</t>
  </si>
  <si>
    <t>Alojamiento y servicio de comidas y bebidas</t>
  </si>
  <si>
    <t>Financieras, seguros, inmobiliarias y prof.</t>
  </si>
  <si>
    <t>Derechos s/importaciones, IVAnd, IT y otros imp. indirectos</t>
  </si>
  <si>
    <t>Valor Agregado Bruto</t>
  </si>
  <si>
    <t>PRODUCTO INTERNO BRUTO (a precios de mercado)</t>
  </si>
  <si>
    <t>Nota del INE: la suma del volumen encadenado por grupos de actividad no es igual al total, por el método de encadenamiento.</t>
  </si>
  <si>
    <t>PIB sectorial acumulado del primer semestre (I + II) — índice 2017 = 100</t>
  </si>
  <si>
    <t>2017–2025: INE. 2026: estimado aplicando al semestre de 2025 las tasas del IpAEC del BCB (columna B, editable en azul).</t>
  </si>
  <si>
    <t>1 · Nivel semestral I+II, millones de Bs encadenados</t>
  </si>
  <si>
    <t>Tasa IpAEC 2026</t>
  </si>
  <si>
    <t>2017</t>
  </si>
  <si>
    <t>2018</t>
  </si>
  <si>
    <t>2019</t>
  </si>
  <si>
    <t>2020</t>
  </si>
  <si>
    <t>2021</t>
  </si>
  <si>
    <t>2022</t>
  </si>
  <si>
    <t>2023</t>
  </si>
  <si>
    <t>2024</t>
  </si>
  <si>
    <t>2025</t>
  </si>
  <si>
    <t>2026</t>
  </si>
  <si>
    <t>Suma de los once sectores</t>
  </si>
  <si>
    <t>Derechos s/import., IVAnd, IT y otros (2026: residuo)</t>
  </si>
  <si>
    <t>Discrepancia de encadenamiento (VAB − suma sectores)</t>
  </si>
  <si>
    <t>PRODUCTO INTERNO BRUTO, semestre I+II</t>
  </si>
  <si>
    <t>2 · Índice del semestre I+II, 2017 = 100</t>
  </si>
  <si>
    <t>PRODUCTO INTERNO BRUTO</t>
  </si>
  <si>
    <t>3 · Contribución al crecimiento del semestre 2026 (puntos porcentuales)</t>
  </si>
  <si>
    <t>Δ nivel 2026 vs 2025</t>
  </si>
  <si>
    <t>Peso en el PIB 2025</t>
  </si>
  <si>
    <t>Contribución (pp)</t>
  </si>
  <si>
    <t>Suma de contribuciones sectoriales</t>
  </si>
  <si>
    <t>Variación publicada del PIB semestral</t>
  </si>
  <si>
    <t>Diferencia (encadenamiento + derechos s/importaciones)</t>
  </si>
  <si>
    <t>Correspondencia: los once grupos del INE mapean uno a uno con las categorías del IpAEC. 'Financieras, seguros, inmobiliarias y profesionales' incluye científicas, técnicas y servicios administrativos de apoyo.</t>
  </si>
  <si>
    <t>Los volúmenes encadenados no son aditivos: la suma de los sectores no iguala al VAB ni al PIB. La fila de discrepancia cuantifica ese efecto para cada semestre.</t>
  </si>
  <si>
    <t>El nivel de 2026 es una estimación construida con tasas de un indicador proxy, no dato de cuentas nacionales. Los derechos sobre importaciones de 2026 se obtienen por residuo, por lo que absorben también la discrepancia de encadenamiento.</t>
  </si>
  <si>
    <t>Prueba de consistencia: la suma de contribuciones sectoriales debe aproximarse a la variación publicada del PIB semestral.</t>
  </si>
  <si>
    <t>4 · Índice del semestre I+II, 2019 = 100 (base prepandemia)</t>
  </si>
  <si>
    <t>Base 2019 = último semestre previo a la pandemia. Mide recuperación, no crecimiento de largo plazo; conviene leerla junto con la base 2017.</t>
  </si>
  <si>
    <t>5 · Variación interanual del semestre I+II (%)</t>
  </si>
  <si>
    <t>Prom. 2018-2019</t>
  </si>
  <si>
    <t>Cada columna compara el semestre I+II contra el mismo semestre del año anterior; equivale a la variación acumulada al II trimestre. La columna B promedia 2018 y 2019 como referencia prepandemia.</t>
  </si>
  <si>
    <t>Las tasas de 2026 son las del IpAEC del BCB (bloque 1, columna B); el resto proviene de las series del 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</si>
</sst>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Red]\-0.00%;\-"/>
    <numFmt numFmtId="165" formatCode="0.0"/>
    <numFmt numFmtId="166" formatCode="0.0%"/>
    <numFmt numFmtId="167" formatCode="#,##0.0"/>
    <numFmt numFmtId="168" formatCode="0.0%;[Red]\-0.0%"/>
    <numFmt numFmtId="169" formatCode="0.0%;[Red]\-0.0%;\-"/>
  </numFmts>
  <fonts count="8">
    <font>
      <sz val="11"/>
      <color theme="1"/>
      <name val="Calibri"/>
      <family val="2"/>
      <charset val="1"/>
    </font>
    <font>
      <b/>
      <sz val="12"/>
      <color rgb="FF6B5134"/>
      <name val="Source Sans 3"/>
      <charset val="1"/>
    </font>
    <font>
      <i/>
      <sz val="9"/>
      <color rgb="FF595959"/>
      <name val="Source Sans 3"/>
      <charset val="1"/>
    </font>
    <font>
      <b/>
      <sz val="10"/>
      <name val="Source Sans 3"/>
      <charset val="1"/>
    </font>
    <font>
      <sz val="10"/>
      <name val="Source Sans 3"/>
      <charset val="1"/>
    </font>
    <font>
      <sz val="10"/>
      <color rgb="FF0000FF"/>
      <name val="Source Sans 3"/>
      <charset val="1"/>
    </font>
    <font>
      <b/>
      <sz val="10"/>
      <color rgb="FFFFFFFF"/>
      <name val="Source Sans 3"/>
      <charset val="1"/>
    </font>
    <font>
      <b/>
      <sz val="10"/>
      <color rgb="FF6B5134"/>
      <name val="Source Sans 3"/>
      <charset val="1"/>
    </font>
  </fonts>
  <fills count="4">
    <fill>
      <patternFill patternType="none"/>
    </fill>
    <fill>
      <patternFill patternType="gray125"/>
    </fill>
    <fill>
      <patternFill patternType="solid">
        <fgColor rgb="FF6B5134"/>
        <bgColor rgb="FF595959"/>
      </patternFill>
    </fill>
    <fill>
      <patternFill patternType="solid">
        <fgColor rgb="FFEDE7DA"/>
        <bgColor rgb="FFD8D0C2"/>
      </patternFill>
    </fill>
  </fills>
  <borders count="2">
    <border>
      <left/>
      <right/>
      <top/>
      <bottom/>
      <diagonal/>
    </border>
    <border>
      <left/>
      <right/>
      <top/>
      <bottom style="thin">
        <color rgb="FFD8D0C2"/>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0" fontId="5" fillId="0" borderId="0" xfId="0" applyNumberFormat="1" applyFont="1"/>
    <xf numFmtId="0" fontId="6" fillId="2" borderId="0" xfId="0" applyFont="1" applyFill="1" applyAlignment="1">
      <alignment horizontal="center" vertical="center" wrapText="1"/>
    </xf>
    <xf numFmtId="3" fontId="5" fillId="0" borderId="0" xfId="0" applyNumberFormat="1" applyFont="1"/>
    <xf numFmtId="164" fontId="0" fillId="0" borderId="0" xfId="0" applyNumberFormat="1"/>
    <xf numFmtId="0" fontId="4" fillId="0" borderId="1" xfId="0" applyFont="1" applyBorder="1"/>
    <xf numFmtId="3" fontId="5" fillId="0" borderId="1" xfId="0" applyNumberFormat="1" applyFont="1" applyBorder="1"/>
    <xf numFmtId="164" fontId="0" fillId="0" borderId="1" xfId="0" applyNumberFormat="1" applyBorder="1"/>
    <xf numFmtId="164" fontId="4" fillId="0" borderId="0" xfId="0" applyNumberFormat="1" applyFont="1"/>
    <xf numFmtId="164" fontId="4" fillId="0" borderId="1" xfId="0" applyNumberFormat="1" applyFont="1" applyBorder="1"/>
    <xf numFmtId="3" fontId="4" fillId="0" borderId="0" xfId="0" applyNumberFormat="1" applyFont="1"/>
    <xf numFmtId="165" fontId="5" fillId="0" borderId="0" xfId="0" applyNumberFormat="1" applyFont="1"/>
    <xf numFmtId="166" fontId="5" fillId="0" borderId="0" xfId="0" applyNumberFormat="1" applyFont="1"/>
    <xf numFmtId="2" fontId="4" fillId="0" borderId="0" xfId="0" applyNumberFormat="1" applyFont="1"/>
    <xf numFmtId="166" fontId="3" fillId="0" borderId="0" xfId="0" applyNumberFormat="1" applyFont="1"/>
    <xf numFmtId="2" fontId="3" fillId="0" borderId="0" xfId="0" applyNumberFormat="1" applyFont="1"/>
    <xf numFmtId="2" fontId="5" fillId="0" borderId="0" xfId="0" applyNumberFormat="1" applyFont="1"/>
    <xf numFmtId="0" fontId="6" fillId="2" borderId="0" xfId="0" applyFont="1" applyFill="1"/>
    <xf numFmtId="0" fontId="6" fillId="2" borderId="0" xfId="0" applyFont="1" applyFill="1" applyAlignment="1">
      <alignment horizontal="center"/>
    </xf>
    <xf numFmtId="167" fontId="4" fillId="0" borderId="0" xfId="0" applyNumberFormat="1" applyFont="1"/>
    <xf numFmtId="167" fontId="3" fillId="0" borderId="0" xfId="0" applyNumberFormat="1" applyFont="1"/>
    <xf numFmtId="0" fontId="7" fillId="3" borderId="0" xfId="0" applyFont="1" applyFill="1"/>
    <xf numFmtId="168" fontId="5" fillId="0" borderId="0" xfId="0" applyNumberFormat="1" applyFont="1"/>
    <xf numFmtId="3" fontId="3" fillId="0" borderId="0" xfId="0" applyNumberFormat="1" applyFont="1"/>
    <xf numFmtId="165" fontId="4" fillId="0" borderId="0" xfId="0" applyNumberFormat="1" applyFont="1"/>
    <xf numFmtId="165" fontId="3" fillId="0" borderId="0" xfId="0" applyNumberFormat="1" applyFont="1"/>
    <xf numFmtId="166" fontId="4" fillId="0" borderId="0" xfId="0" applyNumberFormat="1" applyFont="1"/>
    <xf numFmtId="169" fontId="4" fillId="0" borderId="0" xfId="0" applyNumberFormat="1" applyFont="1"/>
    <xf numFmtId="169" fontId="3"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0C2"/>
      <rgbColor rgb="FF808080"/>
      <rgbColor rgb="FF9999FF"/>
      <rgbColor rgb="FF6B5134"/>
      <rgbColor rgb="FFEDE7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zoomScaleNormal="100" workbookViewId="0">
      <pane ySplit="8" topLeftCell="A9" activePane="bottomLeft" state="frozen"/>
      <selection pane="bottomLeft"/>
    </sheetView>
  </sheetViews>
  <sheetFormatPr baseColWidth="10" defaultColWidth="8.6640625" defaultRowHeight="14.4"/>
  <cols>
    <col min="1" max="1" width="8" customWidth="1"/>
    <col min="2" max="3" width="11" customWidth="1"/>
    <col min="4" max="7" width="14" customWidth="1"/>
  </cols>
  <sheetData>
    <row r="1" spans="1:7" ht="15" customHeight="1">
      <c r="A1" s="1" t="s">
        <v>0</v>
      </c>
    </row>
    <row r="2" spans="1:7" ht="15" customHeight="1">
      <c r="A2" s="2" t="s">
        <v>1</v>
      </c>
    </row>
    <row r="4" spans="1:7" ht="15" customHeight="1">
      <c r="A4" s="3" t="s">
        <v>2</v>
      </c>
    </row>
    <row r="5" spans="1:7" ht="15" customHeight="1">
      <c r="A5" s="4" t="s">
        <v>3</v>
      </c>
      <c r="B5" s="5">
        <v>5.9999999999999995E-4</v>
      </c>
    </row>
    <row r="6" spans="1:7" ht="15" customHeight="1">
      <c r="A6" s="4" t="s">
        <v>4</v>
      </c>
      <c r="B6" s="5">
        <v>-3.3399999999999999E-2</v>
      </c>
    </row>
    <row r="8" spans="1:7" ht="23.25" customHeight="1">
      <c r="A8" s="6" t="s">
        <v>5</v>
      </c>
      <c r="B8" s="6" t="s">
        <v>6</v>
      </c>
      <c r="C8" s="6" t="s">
        <v>7</v>
      </c>
      <c r="D8" s="6" t="s">
        <v>8</v>
      </c>
      <c r="E8" s="6" t="s">
        <v>9</v>
      </c>
      <c r="F8" s="6" t="s">
        <v>10</v>
      </c>
      <c r="G8" s="6" t="s">
        <v>11</v>
      </c>
    </row>
    <row r="9" spans="1:7" ht="15" customHeight="1">
      <c r="A9" s="4">
        <v>2017</v>
      </c>
      <c r="B9" s="4" t="s">
        <v>12</v>
      </c>
      <c r="C9" s="4" t="s">
        <v>13</v>
      </c>
      <c r="D9" s="7">
        <v>75234</v>
      </c>
      <c r="E9" s="8"/>
      <c r="F9" s="8"/>
      <c r="G9" s="8"/>
    </row>
    <row r="10" spans="1:7" ht="15" customHeight="1">
      <c r="A10" s="4">
        <v>2017</v>
      </c>
      <c r="B10" s="4" t="s">
        <v>14</v>
      </c>
      <c r="C10" s="4" t="s">
        <v>15</v>
      </c>
      <c r="D10" s="7">
        <v>80177</v>
      </c>
      <c r="E10" s="8"/>
      <c r="F10" s="8"/>
      <c r="G10" s="8"/>
    </row>
    <row r="11" spans="1:7" ht="15" customHeight="1">
      <c r="A11" s="4">
        <v>2017</v>
      </c>
      <c r="B11" s="4" t="s">
        <v>16</v>
      </c>
      <c r="C11" s="4" t="s">
        <v>17</v>
      </c>
      <c r="D11" s="7">
        <v>82561</v>
      </c>
      <c r="E11" s="8"/>
      <c r="F11" s="8"/>
      <c r="G11" s="8"/>
    </row>
    <row r="12" spans="1:7" ht="15" customHeight="1">
      <c r="A12" s="9">
        <v>2017</v>
      </c>
      <c r="B12" s="9" t="s">
        <v>18</v>
      </c>
      <c r="C12" s="9" t="s">
        <v>19</v>
      </c>
      <c r="D12" s="10">
        <v>79387</v>
      </c>
      <c r="E12" s="11"/>
      <c r="F12" s="11"/>
      <c r="G12" s="11"/>
    </row>
    <row r="13" spans="1:7" ht="15" customHeight="1">
      <c r="A13" s="4">
        <v>2018</v>
      </c>
      <c r="B13" s="4" t="s">
        <v>12</v>
      </c>
      <c r="C13" s="4" t="s">
        <v>20</v>
      </c>
      <c r="D13" s="7">
        <v>77481</v>
      </c>
      <c r="E13" s="12">
        <f t="shared" ref="E13:E46" si="0">D13/D9-1</f>
        <v>2.9866815535529057E-2</v>
      </c>
      <c r="F13" s="12">
        <f>SUM(D13:D13)/SUM(D9:D9)-1</f>
        <v>2.9866815535529057E-2</v>
      </c>
      <c r="G13" s="8"/>
    </row>
    <row r="14" spans="1:7" ht="15" customHeight="1">
      <c r="A14" s="4">
        <v>2018</v>
      </c>
      <c r="B14" s="4" t="s">
        <v>14</v>
      </c>
      <c r="C14" s="4" t="s">
        <v>21</v>
      </c>
      <c r="D14" s="7">
        <v>85436</v>
      </c>
      <c r="E14" s="12">
        <f t="shared" si="0"/>
        <v>6.5592376866183466E-2</v>
      </c>
      <c r="F14" s="12">
        <f>SUM(D13:D14)/SUM(D9:D10)-1</f>
        <v>4.8297739542246143E-2</v>
      </c>
      <c r="G14" s="8"/>
    </row>
    <row r="15" spans="1:7" ht="15" customHeight="1">
      <c r="A15" s="4">
        <v>2018</v>
      </c>
      <c r="B15" s="4" t="s">
        <v>16</v>
      </c>
      <c r="C15" s="4" t="s">
        <v>22</v>
      </c>
      <c r="D15" s="7">
        <v>82899</v>
      </c>
      <c r="E15" s="12">
        <f t="shared" si="0"/>
        <v>4.0939426605781648E-3</v>
      </c>
      <c r="F15" s="12">
        <f>SUM(D13:D15)/SUM(D9:D11)-1</f>
        <v>3.2961861059284336E-2</v>
      </c>
      <c r="G15" s="8"/>
    </row>
    <row r="16" spans="1:7" ht="15" customHeight="1">
      <c r="A16" s="9">
        <v>2018</v>
      </c>
      <c r="B16" s="9" t="s">
        <v>18</v>
      </c>
      <c r="C16" s="9" t="s">
        <v>23</v>
      </c>
      <c r="D16" s="10">
        <v>80644</v>
      </c>
      <c r="E16" s="13">
        <f t="shared" si="0"/>
        <v>1.5833826697066344E-2</v>
      </c>
      <c r="F16" s="13">
        <f>SUM(D13:D16)/SUM(D9:D12)-1</f>
        <v>2.8677302361048485E-2</v>
      </c>
      <c r="G16" s="13">
        <f t="shared" ref="G16:G46" si="1">SUM(D13:D16)/SUM(D9:D12)-1</f>
        <v>2.8677302361048485E-2</v>
      </c>
    </row>
    <row r="17" spans="1:7" ht="15" customHeight="1">
      <c r="A17" s="4">
        <v>2019</v>
      </c>
      <c r="B17" s="4" t="s">
        <v>12</v>
      </c>
      <c r="C17" s="4" t="s">
        <v>24</v>
      </c>
      <c r="D17" s="7">
        <v>80210</v>
      </c>
      <c r="E17" s="12">
        <f t="shared" si="0"/>
        <v>3.5221538183554779E-2</v>
      </c>
      <c r="F17" s="12">
        <f>SUM(D17:D17)/SUM(D13:D13)-1</f>
        <v>3.5221538183554779E-2</v>
      </c>
      <c r="G17" s="12">
        <f t="shared" si="1"/>
        <v>2.9983792544570509E-2</v>
      </c>
    </row>
    <row r="18" spans="1:7" ht="15" customHeight="1">
      <c r="A18" s="4">
        <v>2019</v>
      </c>
      <c r="B18" s="4" t="s">
        <v>14</v>
      </c>
      <c r="C18" s="4" t="s">
        <v>25</v>
      </c>
      <c r="D18" s="7">
        <v>86412</v>
      </c>
      <c r="E18" s="12">
        <f t="shared" si="0"/>
        <v>1.1423755793810608E-2</v>
      </c>
      <c r="F18" s="12">
        <f>SUM(D17:D18)/SUM(D13:D14)-1</f>
        <v>2.2741641449326888E-2</v>
      </c>
      <c r="G18" s="12">
        <f t="shared" si="1"/>
        <v>1.6314469087159278E-2</v>
      </c>
    </row>
    <row r="19" spans="1:7" ht="15" customHeight="1">
      <c r="A19" s="4">
        <v>2019</v>
      </c>
      <c r="B19" s="4" t="s">
        <v>16</v>
      </c>
      <c r="C19" s="4" t="s">
        <v>26</v>
      </c>
      <c r="D19" s="7">
        <v>85874</v>
      </c>
      <c r="E19" s="12">
        <f t="shared" si="0"/>
        <v>3.5887043269520635E-2</v>
      </c>
      <c r="F19" s="12">
        <f>SUM(D17:D19)/SUM(D13:D15)-1</f>
        <v>2.7174797409444507E-2</v>
      </c>
      <c r="G19" s="12">
        <f t="shared" si="1"/>
        <v>2.4406293914877697E-2</v>
      </c>
    </row>
    <row r="20" spans="1:7" ht="15" customHeight="1">
      <c r="A20" s="9">
        <v>2019</v>
      </c>
      <c r="B20" s="9" t="s">
        <v>18</v>
      </c>
      <c r="C20" s="9" t="s">
        <v>27</v>
      </c>
      <c r="D20" s="10">
        <v>78883</v>
      </c>
      <c r="E20" s="13">
        <f t="shared" si="0"/>
        <v>-2.1836714448688066E-2</v>
      </c>
      <c r="F20" s="13">
        <f>SUM(D17:D20)/SUM(D13:D16)-1</f>
        <v>1.5067695889235955E-2</v>
      </c>
      <c r="G20" s="13">
        <f t="shared" si="1"/>
        <v>1.5067695889235955E-2</v>
      </c>
    </row>
    <row r="21" spans="1:7" ht="15" customHeight="1">
      <c r="A21" s="4">
        <v>2020</v>
      </c>
      <c r="B21" s="4" t="s">
        <v>12</v>
      </c>
      <c r="C21" s="4" t="s">
        <v>28</v>
      </c>
      <c r="D21" s="7">
        <v>76532</v>
      </c>
      <c r="E21" s="12">
        <f t="shared" si="0"/>
        <v>-4.5854631592070816E-2</v>
      </c>
      <c r="F21" s="12">
        <f>SUM(D21:D21)/SUM(D17:D17)-1</f>
        <v>-4.5854631592070816E-2</v>
      </c>
      <c r="G21" s="12">
        <f t="shared" si="1"/>
        <v>-4.5201996421508905E-3</v>
      </c>
    </row>
    <row r="22" spans="1:7" ht="15" customHeight="1">
      <c r="A22" s="4">
        <v>2020</v>
      </c>
      <c r="B22" s="4" t="s">
        <v>14</v>
      </c>
      <c r="C22" s="4" t="s">
        <v>29</v>
      </c>
      <c r="D22" s="7">
        <v>64029</v>
      </c>
      <c r="E22" s="12">
        <f t="shared" si="0"/>
        <v>-0.25902652409387583</v>
      </c>
      <c r="F22" s="12">
        <f>SUM(D21:D22)/SUM(D17:D18)-1</f>
        <v>-0.15640791732184223</v>
      </c>
      <c r="G22" s="12">
        <f t="shared" si="1"/>
        <v>-7.5256311238320217E-2</v>
      </c>
    </row>
    <row r="23" spans="1:7" ht="15" customHeight="1">
      <c r="A23" s="4">
        <v>2020</v>
      </c>
      <c r="B23" s="4" t="s">
        <v>16</v>
      </c>
      <c r="C23" s="4" t="s">
        <v>30</v>
      </c>
      <c r="D23" s="7">
        <v>71920</v>
      </c>
      <c r="E23" s="12">
        <f t="shared" si="0"/>
        <v>-0.16249388639169016</v>
      </c>
      <c r="F23" s="12">
        <f>SUM(D21:D23)/SUM(D17:D19)-1</f>
        <v>-0.15847775806349407</v>
      </c>
      <c r="G23" s="12">
        <f t="shared" si="1"/>
        <v>-0.12540073242480643</v>
      </c>
    </row>
    <row r="24" spans="1:7" ht="15" customHeight="1">
      <c r="A24" s="9">
        <v>2020</v>
      </c>
      <c r="B24" s="9" t="s">
        <v>18</v>
      </c>
      <c r="C24" s="9" t="s">
        <v>31</v>
      </c>
      <c r="D24" s="10">
        <v>76750</v>
      </c>
      <c r="E24" s="13">
        <f t="shared" si="0"/>
        <v>-2.704004665136972E-2</v>
      </c>
      <c r="F24" s="13">
        <f>SUM(D21:D24)/SUM(D17:D20)-1</f>
        <v>-0.12718971328901352</v>
      </c>
      <c r="G24" s="13">
        <f t="shared" si="1"/>
        <v>-0.12718971328901352</v>
      </c>
    </row>
    <row r="25" spans="1:7" ht="15" customHeight="1">
      <c r="A25" s="4">
        <v>2021</v>
      </c>
      <c r="B25" s="4" t="s">
        <v>12</v>
      </c>
      <c r="C25" s="4" t="s">
        <v>32</v>
      </c>
      <c r="D25" s="7">
        <v>75109</v>
      </c>
      <c r="E25" s="12">
        <f t="shared" si="0"/>
        <v>-1.8593529503998285E-2</v>
      </c>
      <c r="F25" s="12">
        <f>SUM(D25:D25)/SUM(D21:D21)-1</f>
        <v>-1.8593529503998285E-2</v>
      </c>
      <c r="G25" s="12">
        <f t="shared" si="1"/>
        <v>-0.12173597273123971</v>
      </c>
    </row>
    <row r="26" spans="1:7" ht="15" customHeight="1">
      <c r="A26" s="4">
        <v>2021</v>
      </c>
      <c r="B26" s="4" t="s">
        <v>14</v>
      </c>
      <c r="C26" s="4" t="s">
        <v>33</v>
      </c>
      <c r="D26" s="7">
        <v>81541</v>
      </c>
      <c r="E26" s="12">
        <f t="shared" si="0"/>
        <v>0.27350106982773426</v>
      </c>
      <c r="F26" s="12">
        <f>SUM(D25:D26)/SUM(D21:D22)-1</f>
        <v>0.11446275994052413</v>
      </c>
      <c r="G26" s="12">
        <f t="shared" si="1"/>
        <v>6.5505472981453039E-6</v>
      </c>
    </row>
    <row r="27" spans="1:7" ht="15" customHeight="1">
      <c r="A27" s="4">
        <v>2021</v>
      </c>
      <c r="B27" s="4" t="s">
        <v>16</v>
      </c>
      <c r="C27" s="4" t="s">
        <v>34</v>
      </c>
      <c r="D27" s="7">
        <v>81169</v>
      </c>
      <c r="E27" s="12">
        <f t="shared" si="0"/>
        <v>0.12860122358175752</v>
      </c>
      <c r="F27" s="12">
        <f>SUM(D25:D27)/SUM(D21:D23)-1</f>
        <v>0.11924830926059271</v>
      </c>
      <c r="G27" s="12">
        <f t="shared" si="1"/>
        <v>7.9642646311829823E-2</v>
      </c>
    </row>
    <row r="28" spans="1:7" ht="15" customHeight="1">
      <c r="A28" s="9">
        <v>2021</v>
      </c>
      <c r="B28" s="9" t="s">
        <v>18</v>
      </c>
      <c r="C28" s="9" t="s">
        <v>35</v>
      </c>
      <c r="D28" s="10">
        <v>80419</v>
      </c>
      <c r="E28" s="13">
        <f t="shared" si="0"/>
        <v>4.7804560260586326E-2</v>
      </c>
      <c r="F28" s="13">
        <f>SUM(D25:D28)/SUM(D21:D24)-1</f>
        <v>0.1002900795557875</v>
      </c>
      <c r="G28" s="13">
        <f t="shared" si="1"/>
        <v>0.1002900795557875</v>
      </c>
    </row>
    <row r="29" spans="1:7" ht="15" customHeight="1">
      <c r="A29" s="4">
        <v>2022</v>
      </c>
      <c r="B29" s="4" t="s">
        <v>12</v>
      </c>
      <c r="C29" s="4" t="s">
        <v>36</v>
      </c>
      <c r="D29" s="7">
        <v>81682</v>
      </c>
      <c r="E29" s="12">
        <f t="shared" si="0"/>
        <v>8.7512814709289177E-2</v>
      </c>
      <c r="F29" s="12">
        <f>SUM(D29:D29)/SUM(D25:D25)-1</f>
        <v>8.7512814709289177E-2</v>
      </c>
      <c r="G29" s="12">
        <f t="shared" si="1"/>
        <v>0.12856835112297094</v>
      </c>
    </row>
    <row r="30" spans="1:7" ht="15" customHeight="1">
      <c r="A30" s="4">
        <v>2022</v>
      </c>
      <c r="B30" s="4" t="s">
        <v>14</v>
      </c>
      <c r="C30" s="4" t="s">
        <v>37</v>
      </c>
      <c r="D30" s="7">
        <v>85248</v>
      </c>
      <c r="E30" s="12">
        <f t="shared" si="0"/>
        <v>4.546179222722313E-2</v>
      </c>
      <c r="F30" s="12">
        <f>SUM(D29:D30)/SUM(D25:D26)-1</f>
        <v>6.5624002553463123E-2</v>
      </c>
      <c r="G30" s="12">
        <f t="shared" si="1"/>
        <v>7.5979300406131323E-2</v>
      </c>
    </row>
    <row r="31" spans="1:7" ht="15" customHeight="1">
      <c r="A31" s="4">
        <v>2022</v>
      </c>
      <c r="B31" s="4" t="s">
        <v>16</v>
      </c>
      <c r="C31" s="4" t="s">
        <v>38</v>
      </c>
      <c r="D31" s="7">
        <v>84141</v>
      </c>
      <c r="E31" s="12">
        <f t="shared" si="0"/>
        <v>3.6614963840875259E-2</v>
      </c>
      <c r="F31" s="12">
        <f>SUM(D29:D31)/SUM(D25:D27)-1</f>
        <v>5.5723049882473674E-2</v>
      </c>
      <c r="G31" s="12">
        <f t="shared" si="1"/>
        <v>5.379106014896573E-2</v>
      </c>
    </row>
    <row r="32" spans="1:7" ht="15" customHeight="1">
      <c r="A32" s="9">
        <v>2022</v>
      </c>
      <c r="B32" s="9" t="s">
        <v>18</v>
      </c>
      <c r="C32" s="9" t="s">
        <v>39</v>
      </c>
      <c r="D32" s="10">
        <v>79091</v>
      </c>
      <c r="E32" s="13">
        <f t="shared" si="0"/>
        <v>-1.6513510488814886E-2</v>
      </c>
      <c r="F32" s="13">
        <f>SUM(D29:D32)/SUM(D25:D28)-1</f>
        <v>3.7468812649652072E-2</v>
      </c>
      <c r="G32" s="13">
        <f t="shared" si="1"/>
        <v>3.7468812649652072E-2</v>
      </c>
    </row>
    <row r="33" spans="1:7" ht="15" customHeight="1">
      <c r="A33" s="4">
        <v>2023</v>
      </c>
      <c r="B33" s="4" t="s">
        <v>12</v>
      </c>
      <c r="C33" s="4" t="s">
        <v>40</v>
      </c>
      <c r="D33" s="7">
        <v>81529</v>
      </c>
      <c r="E33" s="12">
        <f t="shared" si="0"/>
        <v>-1.8731177003501465E-3</v>
      </c>
      <c r="F33" s="12">
        <f>SUM(D33:D33)/SUM(D29:D29)-1</f>
        <v>-1.8731177003501465E-3</v>
      </c>
      <c r="G33" s="12">
        <f t="shared" si="1"/>
        <v>1.6003152602590331E-2</v>
      </c>
    </row>
    <row r="34" spans="1:7" ht="15" customHeight="1">
      <c r="A34" s="4">
        <v>2023</v>
      </c>
      <c r="B34" s="4" t="s">
        <v>14</v>
      </c>
      <c r="C34" s="4" t="s">
        <v>41</v>
      </c>
      <c r="D34" s="7">
        <v>88308</v>
      </c>
      <c r="E34" s="12">
        <f t="shared" si="0"/>
        <v>3.5895270270270174E-2</v>
      </c>
      <c r="F34" s="12">
        <f>SUM(D33:D34)/SUM(D29:D30)-1</f>
        <v>1.7414485113520728E-2</v>
      </c>
      <c r="G34" s="12">
        <f t="shared" si="1"/>
        <v>1.3853122203349555E-2</v>
      </c>
    </row>
    <row r="35" spans="1:7" ht="15" customHeight="1">
      <c r="A35" s="4">
        <v>2023</v>
      </c>
      <c r="B35" s="4" t="s">
        <v>16</v>
      </c>
      <c r="C35" s="4" t="s">
        <v>42</v>
      </c>
      <c r="D35" s="7">
        <v>86547</v>
      </c>
      <c r="E35" s="12">
        <f t="shared" si="0"/>
        <v>2.8594858630156539E-2</v>
      </c>
      <c r="F35" s="12">
        <f>SUM(D33:D35)/SUM(D29:D31)-1</f>
        <v>2.1161344798881654E-2</v>
      </c>
      <c r="G35" s="12">
        <f t="shared" si="1"/>
        <v>1.202147877764026E-2</v>
      </c>
    </row>
    <row r="36" spans="1:7" ht="15" customHeight="1">
      <c r="A36" s="9">
        <v>2023</v>
      </c>
      <c r="B36" s="9" t="s">
        <v>18</v>
      </c>
      <c r="C36" s="9" t="s">
        <v>43</v>
      </c>
      <c r="D36" s="10">
        <v>82086</v>
      </c>
      <c r="E36" s="13">
        <f t="shared" si="0"/>
        <v>3.7867772565778557E-2</v>
      </c>
      <c r="F36" s="13">
        <f>SUM(D33:D36)/SUM(D29:D32)-1</f>
        <v>2.5163404631665776E-2</v>
      </c>
      <c r="G36" s="13">
        <f t="shared" si="1"/>
        <v>2.5163404631665776E-2</v>
      </c>
    </row>
    <row r="37" spans="1:7" ht="15" customHeight="1">
      <c r="A37" s="4">
        <v>2024</v>
      </c>
      <c r="B37" s="4" t="s">
        <v>12</v>
      </c>
      <c r="C37" s="4" t="s">
        <v>44</v>
      </c>
      <c r="D37" s="7">
        <v>79584</v>
      </c>
      <c r="E37" s="12">
        <f t="shared" si="0"/>
        <v>-2.3856541844006429E-2</v>
      </c>
      <c r="F37" s="12">
        <f>SUM(D37:D37)/SUM(D33:D33)-1</f>
        <v>-2.3856541844006429E-2</v>
      </c>
      <c r="G37" s="12">
        <f t="shared" si="1"/>
        <v>1.9744916047744088E-2</v>
      </c>
    </row>
    <row r="38" spans="1:7" ht="15" customHeight="1">
      <c r="A38" s="4">
        <v>2024</v>
      </c>
      <c r="B38" s="4" t="s">
        <v>14</v>
      </c>
      <c r="C38" s="4" t="s">
        <v>45</v>
      </c>
      <c r="D38" s="7">
        <v>89058</v>
      </c>
      <c r="E38" s="12">
        <f t="shared" si="0"/>
        <v>8.493001766544328E-3</v>
      </c>
      <c r="F38" s="12">
        <f>SUM(D37:D38)/SUM(D33:D34)-1</f>
        <v>-7.0361581987434807E-3</v>
      </c>
      <c r="G38" s="12">
        <f t="shared" si="1"/>
        <v>1.2628014015114042E-2</v>
      </c>
    </row>
    <row r="39" spans="1:7" ht="15" customHeight="1">
      <c r="A39" s="4">
        <v>2024</v>
      </c>
      <c r="B39" s="4" t="s">
        <v>16</v>
      </c>
      <c r="C39" s="4" t="s">
        <v>46</v>
      </c>
      <c r="D39" s="7">
        <v>85333</v>
      </c>
      <c r="E39" s="12">
        <f t="shared" si="0"/>
        <v>-1.4027060441147543E-2</v>
      </c>
      <c r="F39" s="12">
        <f>SUM(D37:D39)/SUM(D33:D35)-1</f>
        <v>-9.3960621567648062E-3</v>
      </c>
      <c r="G39" s="12">
        <f t="shared" si="1"/>
        <v>1.7467769580445935E-3</v>
      </c>
    </row>
    <row r="40" spans="1:7" ht="15" customHeight="1">
      <c r="A40" s="9">
        <v>2024</v>
      </c>
      <c r="B40" s="9" t="s">
        <v>18</v>
      </c>
      <c r="C40" s="9" t="s">
        <v>47</v>
      </c>
      <c r="D40" s="10">
        <v>80694</v>
      </c>
      <c r="E40" s="13">
        <f t="shared" si="0"/>
        <v>-1.6957824720415182E-2</v>
      </c>
      <c r="F40" s="13">
        <f>SUM(D37:D40)/SUM(D33:D36)-1</f>
        <v>-1.1229946524064172E-2</v>
      </c>
      <c r="G40" s="13">
        <f t="shared" si="1"/>
        <v>-1.1229946524064172E-2</v>
      </c>
    </row>
    <row r="41" spans="1:7" ht="15" customHeight="1">
      <c r="A41" s="4">
        <v>2025</v>
      </c>
      <c r="B41" s="4" t="s">
        <v>12</v>
      </c>
      <c r="C41" s="4" t="s">
        <v>48</v>
      </c>
      <c r="D41" s="7">
        <v>78258</v>
      </c>
      <c r="E41" s="12">
        <f t="shared" si="0"/>
        <v>-1.6661640530759914E-2</v>
      </c>
      <c r="F41" s="12">
        <f>SUM(D41:D41)/SUM(D37:D37)-1</f>
        <v>-1.6661640530759914E-2</v>
      </c>
      <c r="G41" s="12">
        <f t="shared" si="1"/>
        <v>-9.4554639328430223E-3</v>
      </c>
    </row>
    <row r="42" spans="1:7" ht="15" customHeight="1">
      <c r="A42" s="4">
        <v>2025</v>
      </c>
      <c r="B42" s="4" t="s">
        <v>14</v>
      </c>
      <c r="C42" s="4" t="s">
        <v>49</v>
      </c>
      <c r="D42" s="7">
        <v>86588</v>
      </c>
      <c r="E42" s="12">
        <f t="shared" si="0"/>
        <v>-2.773473466729548E-2</v>
      </c>
      <c r="F42" s="12">
        <f>SUM(D41:D42)/SUM(D37:D38)-1</f>
        <v>-2.2509220716073086E-2</v>
      </c>
      <c r="G42" s="12">
        <f t="shared" si="1"/>
        <v>-1.8981543251056276E-2</v>
      </c>
    </row>
    <row r="43" spans="1:7" ht="15" customHeight="1">
      <c r="A43" s="4">
        <v>2025</v>
      </c>
      <c r="B43" s="4" t="s">
        <v>16</v>
      </c>
      <c r="C43" s="4" t="s">
        <v>50</v>
      </c>
      <c r="D43" s="7">
        <v>84754</v>
      </c>
      <c r="E43" s="12">
        <f t="shared" si="0"/>
        <v>-6.7851827546201449E-3</v>
      </c>
      <c r="F43" s="12">
        <f>SUM(D41:D43)/SUM(D37:D39)-1</f>
        <v>-1.7226104931587716E-2</v>
      </c>
      <c r="G43" s="12">
        <f t="shared" si="1"/>
        <v>-1.7160575014655066E-2</v>
      </c>
    </row>
    <row r="44" spans="1:7" ht="15" customHeight="1">
      <c r="A44" s="9">
        <v>2025</v>
      </c>
      <c r="B44" s="9" t="s">
        <v>18</v>
      </c>
      <c r="C44" s="9" t="s">
        <v>51</v>
      </c>
      <c r="D44" s="10">
        <v>79771</v>
      </c>
      <c r="E44" s="13">
        <f t="shared" si="0"/>
        <v>-1.1438272981882158E-2</v>
      </c>
      <c r="F44" s="13">
        <f>SUM(D41:D44)/SUM(D37:D40)-1</f>
        <v>-1.5830566918358158E-2</v>
      </c>
      <c r="G44" s="13">
        <f t="shared" si="1"/>
        <v>-1.5830566918358158E-2</v>
      </c>
    </row>
    <row r="45" spans="1:7" ht="15" customHeight="1">
      <c r="A45" s="4">
        <v>2026</v>
      </c>
      <c r="B45" s="4" t="s">
        <v>12</v>
      </c>
      <c r="C45" s="4" t="s">
        <v>3</v>
      </c>
      <c r="D45" s="14">
        <f>D41*(1+$B$5)</f>
        <v>78304.954799999992</v>
      </c>
      <c r="E45" s="12">
        <f t="shared" si="0"/>
        <v>5.9999999999993392E-4</v>
      </c>
      <c r="F45" s="12">
        <f>SUM(D45:D45)/SUM(D41:D41)-1</f>
        <v>5.9999999999993392E-4</v>
      </c>
      <c r="G45" s="12">
        <f t="shared" si="1"/>
        <v>-1.1774794130970156E-2</v>
      </c>
    </row>
    <row r="46" spans="1:7" ht="15" customHeight="1">
      <c r="A46" s="4">
        <v>2026</v>
      </c>
      <c r="B46" s="4" t="s">
        <v>14</v>
      </c>
      <c r="C46" s="4" t="s">
        <v>4</v>
      </c>
      <c r="D46" s="14">
        <f>(D41+D42)*(1+$B$6)-D45</f>
        <v>81035.188800000018</v>
      </c>
      <c r="E46" s="12">
        <f t="shared" si="0"/>
        <v>-6.4129107959532305E-2</v>
      </c>
      <c r="F46" s="12">
        <f>SUM(D45:D46)/SUM(D41:D42)-1</f>
        <v>-3.3399999999999985E-2</v>
      </c>
      <c r="G46" s="12">
        <f t="shared" si="1"/>
        <v>-2.1179898027339772E-2</v>
      </c>
    </row>
    <row r="48" spans="1:7" ht="15" customHeight="1">
      <c r="A48" s="2" t="s">
        <v>52</v>
      </c>
    </row>
    <row r="49" spans="1:1" ht="15" customHeight="1">
      <c r="A49" s="2" t="s">
        <v>53</v>
      </c>
    </row>
    <row r="50" spans="1:1" ht="15" customHeight="1">
      <c r="A50" s="2" t="s">
        <v>54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zoomScaleNormal="100" workbookViewId="0"/>
  </sheetViews>
  <sheetFormatPr baseColWidth="10" defaultColWidth="8.6640625" defaultRowHeight="14.4"/>
  <cols>
    <col min="1" max="1" width="58" customWidth="1"/>
    <col min="2" max="2" width="18" customWidth="1"/>
    <col min="3" max="3" width="20" customWidth="1"/>
    <col min="4" max="4" width="22" customWidth="1"/>
  </cols>
  <sheetData>
    <row r="1" spans="1:4" ht="15" customHeight="1">
      <c r="A1" s="1" t="s">
        <v>55</v>
      </c>
    </row>
    <row r="2" spans="1:4" ht="15" customHeight="1">
      <c r="A2" s="2" t="s">
        <v>56</v>
      </c>
    </row>
    <row r="4" spans="1:4" ht="23.25" customHeight="1">
      <c r="A4" s="6" t="s">
        <v>57</v>
      </c>
      <c r="B4" s="6" t="s">
        <v>58</v>
      </c>
      <c r="C4" s="6" t="s">
        <v>59</v>
      </c>
      <c r="D4" s="6" t="s">
        <v>60</v>
      </c>
    </row>
    <row r="5" spans="1:4" ht="15" customHeight="1">
      <c r="A5" s="4" t="s">
        <v>61</v>
      </c>
      <c r="B5" s="15">
        <v>9.9</v>
      </c>
      <c r="C5" s="16">
        <v>0.08</v>
      </c>
      <c r="D5" s="17">
        <f t="shared" ref="D5:D15" si="0">B5*C5</f>
        <v>0.79200000000000004</v>
      </c>
    </row>
    <row r="6" spans="1:4" ht="15" customHeight="1">
      <c r="A6" s="4" t="s">
        <v>62</v>
      </c>
      <c r="B6" s="15">
        <v>3.2</v>
      </c>
      <c r="C6" s="16">
        <v>0.13</v>
      </c>
      <c r="D6" s="17">
        <f t="shared" si="0"/>
        <v>0.41600000000000004</v>
      </c>
    </row>
    <row r="7" spans="1:4" ht="15" customHeight="1">
      <c r="A7" s="4" t="s">
        <v>63</v>
      </c>
      <c r="B7" s="15">
        <v>2</v>
      </c>
      <c r="C7" s="16">
        <v>2.3E-2</v>
      </c>
      <c r="D7" s="17">
        <f t="shared" si="0"/>
        <v>4.5999999999999999E-2</v>
      </c>
    </row>
    <row r="8" spans="1:4" ht="15" customHeight="1">
      <c r="A8" s="4" t="s">
        <v>64</v>
      </c>
      <c r="B8" s="15">
        <v>0.3</v>
      </c>
      <c r="C8" s="16">
        <v>0.15</v>
      </c>
      <c r="D8" s="17">
        <f t="shared" si="0"/>
        <v>4.4999999999999998E-2</v>
      </c>
    </row>
    <row r="9" spans="1:4" ht="15" customHeight="1">
      <c r="A9" s="4" t="s">
        <v>65</v>
      </c>
      <c r="B9" s="15">
        <v>-1.4</v>
      </c>
      <c r="C9" s="16">
        <v>0.04</v>
      </c>
      <c r="D9" s="17">
        <f t="shared" si="0"/>
        <v>-5.5999999999999994E-2</v>
      </c>
    </row>
    <row r="10" spans="1:4" ht="15" customHeight="1">
      <c r="A10" s="4" t="s">
        <v>66</v>
      </c>
      <c r="B10" s="15">
        <v>-2.6</v>
      </c>
      <c r="C10" s="16">
        <v>3.2000000000000001E-2</v>
      </c>
      <c r="D10" s="17">
        <f t="shared" si="0"/>
        <v>-8.320000000000001E-2</v>
      </c>
    </row>
    <row r="11" spans="1:4" ht="15" customHeight="1">
      <c r="A11" s="4" t="s">
        <v>67</v>
      </c>
      <c r="B11" s="15">
        <v>-4.3</v>
      </c>
      <c r="C11" s="16">
        <v>0.15</v>
      </c>
      <c r="D11" s="17">
        <f t="shared" si="0"/>
        <v>-0.64499999999999991</v>
      </c>
    </row>
    <row r="12" spans="1:4" ht="15" customHeight="1">
      <c r="A12" s="4" t="s">
        <v>68</v>
      </c>
      <c r="B12" s="15">
        <v>-7.7</v>
      </c>
      <c r="C12" s="16">
        <v>0.11</v>
      </c>
      <c r="D12" s="17">
        <f t="shared" si="0"/>
        <v>-0.84699999999999998</v>
      </c>
    </row>
    <row r="13" spans="1:4" ht="15" customHeight="1">
      <c r="A13" s="4" t="s">
        <v>69</v>
      </c>
      <c r="B13" s="15">
        <v>-8.6</v>
      </c>
      <c r="C13" s="16">
        <v>0.09</v>
      </c>
      <c r="D13" s="17">
        <f t="shared" si="0"/>
        <v>-0.77399999999999991</v>
      </c>
    </row>
    <row r="14" spans="1:4" ht="15" customHeight="1">
      <c r="A14" s="4" t="s">
        <v>70</v>
      </c>
      <c r="B14" s="15">
        <v>-9.5</v>
      </c>
      <c r="C14" s="16">
        <v>0.11</v>
      </c>
      <c r="D14" s="17">
        <f t="shared" si="0"/>
        <v>-1.0449999999999999</v>
      </c>
    </row>
    <row r="15" spans="1:4" ht="15" customHeight="1">
      <c r="A15" s="4" t="s">
        <v>71</v>
      </c>
      <c r="B15" s="15">
        <v>-27.3</v>
      </c>
      <c r="C15" s="16">
        <v>3.5000000000000003E-2</v>
      </c>
      <c r="D15" s="17">
        <f t="shared" si="0"/>
        <v>-0.95550000000000013</v>
      </c>
    </row>
    <row r="16" spans="1:4" ht="15" customHeight="1">
      <c r="A16" s="3" t="s">
        <v>72</v>
      </c>
      <c r="C16" s="18">
        <f>SUM(C5:C15)</f>
        <v>0.95</v>
      </c>
      <c r="D16" s="19">
        <f>SUM(D5:D15)</f>
        <v>-3.1066999999999996</v>
      </c>
    </row>
    <row r="17" spans="1:4" ht="15" customHeight="1">
      <c r="A17" s="3" t="s">
        <v>73</v>
      </c>
      <c r="B17" s="20">
        <v>-3.34</v>
      </c>
    </row>
    <row r="18" spans="1:4" ht="15" customHeight="1">
      <c r="A18" s="4" t="s">
        <v>74</v>
      </c>
      <c r="D18" s="17">
        <f>D16-B17</f>
        <v>0.23330000000000028</v>
      </c>
    </row>
    <row r="20" spans="1:4" ht="15" customHeight="1">
      <c r="A20" s="2" t="s">
        <v>75</v>
      </c>
    </row>
    <row r="21" spans="1:4" ht="15" customHeight="1">
      <c r="A21" s="2" t="s">
        <v>76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topLeftCell="J1" zoomScaleNormal="100" workbookViewId="0">
      <pane ySplit="4" topLeftCell="A5" activePane="bottomLeft" state="frozen"/>
      <selection pane="bottomLeft"/>
    </sheetView>
  </sheetViews>
  <sheetFormatPr baseColWidth="10" defaultColWidth="8.6640625" defaultRowHeight="14.4"/>
  <cols>
    <col min="1" max="1" width="10" customWidth="1"/>
    <col min="2" max="3" width="20" customWidth="1"/>
    <col min="4" max="4" width="26" customWidth="1"/>
  </cols>
  <sheetData>
    <row r="1" spans="1:4" ht="15" customHeight="1">
      <c r="A1" s="1" t="s">
        <v>77</v>
      </c>
    </row>
    <row r="2" spans="1:4" ht="15" customHeight="1">
      <c r="A2" s="2" t="s">
        <v>78</v>
      </c>
    </row>
    <row r="4" spans="1:4" ht="23.25" customHeight="1">
      <c r="A4" s="6" t="s">
        <v>5</v>
      </c>
      <c r="B4" s="6" t="s">
        <v>79</v>
      </c>
      <c r="C4" s="6" t="s">
        <v>80</v>
      </c>
      <c r="D4" s="6" t="s">
        <v>81</v>
      </c>
    </row>
    <row r="5" spans="1:4" ht="15" customHeight="1">
      <c r="A5" s="4">
        <v>2017</v>
      </c>
      <c r="B5" s="14">
        <f>SUM('PIB trimestral'!D9:D10)</f>
        <v>155411</v>
      </c>
      <c r="C5" s="17">
        <f t="shared" ref="C5:C14" si="0">B5/$B$5*100</f>
        <v>100</v>
      </c>
    </row>
    <row r="6" spans="1:4" ht="15" customHeight="1">
      <c r="A6" s="4">
        <v>2018</v>
      </c>
      <c r="B6" s="14">
        <f>SUM('PIB trimestral'!D13:D14)</f>
        <v>162917</v>
      </c>
      <c r="C6" s="17">
        <f t="shared" si="0"/>
        <v>104.82977395422462</v>
      </c>
      <c r="D6" s="12">
        <f t="shared" ref="D6:D14" si="1">B6/B5-1</f>
        <v>4.8297739542246143E-2</v>
      </c>
    </row>
    <row r="7" spans="1:4" ht="15" customHeight="1">
      <c r="A7" s="4">
        <v>2019</v>
      </c>
      <c r="B7" s="14">
        <f>SUM('PIB trimestral'!D17:D18)</f>
        <v>166622</v>
      </c>
      <c r="C7" s="17">
        <f t="shared" si="0"/>
        <v>107.21377508670558</v>
      </c>
      <c r="D7" s="12">
        <f t="shared" si="1"/>
        <v>2.2741641449326888E-2</v>
      </c>
    </row>
    <row r="8" spans="1:4" ht="15" customHeight="1">
      <c r="A8" s="4">
        <v>2020</v>
      </c>
      <c r="B8" s="14">
        <f>SUM('PIB trimestral'!D21:D22)</f>
        <v>140561</v>
      </c>
      <c r="C8" s="17">
        <f t="shared" si="0"/>
        <v>90.444691817181535</v>
      </c>
      <c r="D8" s="12">
        <f t="shared" si="1"/>
        <v>-0.15640791732184223</v>
      </c>
    </row>
    <row r="9" spans="1:4" ht="15" customHeight="1">
      <c r="A9" s="4">
        <v>2021</v>
      </c>
      <c r="B9" s="14">
        <f>SUM('PIB trimestral'!D25:D26)</f>
        <v>156650</v>
      </c>
      <c r="C9" s="17">
        <f t="shared" si="0"/>
        <v>100.79724086454627</v>
      </c>
      <c r="D9" s="12">
        <f t="shared" si="1"/>
        <v>0.11446275994052413</v>
      </c>
    </row>
    <row r="10" spans="1:4" ht="15" customHeight="1">
      <c r="A10" s="4">
        <v>2022</v>
      </c>
      <c r="B10" s="14">
        <f>SUM('PIB trimestral'!D29:D30)</f>
        <v>166930</v>
      </c>
      <c r="C10" s="17">
        <f t="shared" si="0"/>
        <v>107.41195925642329</v>
      </c>
      <c r="D10" s="12">
        <f t="shared" si="1"/>
        <v>6.5624002553463123E-2</v>
      </c>
    </row>
    <row r="11" spans="1:4" ht="15" customHeight="1">
      <c r="A11" s="4">
        <v>2023</v>
      </c>
      <c r="B11" s="14">
        <f>SUM('PIB trimestral'!D33:D34)</f>
        <v>169837</v>
      </c>
      <c r="C11" s="17">
        <f t="shared" si="0"/>
        <v>109.28248322190836</v>
      </c>
      <c r="D11" s="12">
        <f t="shared" si="1"/>
        <v>1.7414485113520728E-2</v>
      </c>
    </row>
    <row r="12" spans="1:4" ht="15" customHeight="1">
      <c r="A12" s="4">
        <v>2024</v>
      </c>
      <c r="B12" s="14">
        <f>SUM('PIB trimestral'!D37:D38)</f>
        <v>168642</v>
      </c>
      <c r="C12" s="17">
        <f t="shared" si="0"/>
        <v>108.51355438160748</v>
      </c>
      <c r="D12" s="12">
        <f t="shared" si="1"/>
        <v>-7.0361581987434807E-3</v>
      </c>
    </row>
    <row r="13" spans="1:4" ht="15" customHeight="1">
      <c r="A13" s="4">
        <v>2025</v>
      </c>
      <c r="B13" s="14">
        <f>SUM('PIB trimestral'!D41:D42)</f>
        <v>164846</v>
      </c>
      <c r="C13" s="17">
        <f t="shared" si="0"/>
        <v>106.07099883534627</v>
      </c>
      <c r="D13" s="12">
        <f t="shared" si="1"/>
        <v>-2.2509220716073086E-2</v>
      </c>
    </row>
    <row r="14" spans="1:4" ht="15" customHeight="1">
      <c r="A14" s="4">
        <v>2026</v>
      </c>
      <c r="B14" s="14">
        <f>SUM('PIB trimestral'!D45:D46)</f>
        <v>159340.14360000001</v>
      </c>
      <c r="C14" s="17">
        <f t="shared" si="0"/>
        <v>102.52822747424572</v>
      </c>
      <c r="D14" s="12">
        <f t="shared" si="1"/>
        <v>-3.3399999999999985E-2</v>
      </c>
    </row>
    <row r="16" spans="1:4" ht="15" customHeight="1">
      <c r="A16" s="2" t="s">
        <v>82</v>
      </c>
    </row>
    <row r="17" spans="1:1" ht="15" customHeight="1">
      <c r="A17" s="2" t="s">
        <v>83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0"/>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4.4"/>
  <cols>
    <col min="1" max="1" width="52" customWidth="1"/>
    <col min="2" max="37" width="11" customWidth="1"/>
  </cols>
  <sheetData>
    <row r="1" spans="1:37" ht="15" customHeight="1">
      <c r="A1" s="1" t="s">
        <v>84</v>
      </c>
    </row>
    <row r="2" spans="1:37" ht="15" customHeight="1">
      <c r="A2" s="2" t="s">
        <v>85</v>
      </c>
    </row>
    <row r="4" spans="1:37" ht="15" customHeight="1">
      <c r="A4" s="21" t="s">
        <v>57</v>
      </c>
      <c r="B4" s="22" t="s">
        <v>13</v>
      </c>
      <c r="C4" s="22" t="s">
        <v>15</v>
      </c>
      <c r="D4" s="22" t="s">
        <v>17</v>
      </c>
      <c r="E4" s="22" t="s">
        <v>19</v>
      </c>
      <c r="F4" s="22" t="s">
        <v>20</v>
      </c>
      <c r="G4" s="22" t="s">
        <v>21</v>
      </c>
      <c r="H4" s="22" t="s">
        <v>22</v>
      </c>
      <c r="I4" s="22" t="s">
        <v>23</v>
      </c>
      <c r="J4" s="22" t="s">
        <v>24</v>
      </c>
      <c r="K4" s="22" t="s">
        <v>25</v>
      </c>
      <c r="L4" s="22" t="s">
        <v>26</v>
      </c>
      <c r="M4" s="22" t="s">
        <v>27</v>
      </c>
      <c r="N4" s="22" t="s">
        <v>28</v>
      </c>
      <c r="O4" s="22" t="s">
        <v>29</v>
      </c>
      <c r="P4" s="22" t="s">
        <v>30</v>
      </c>
      <c r="Q4" s="22" t="s">
        <v>31</v>
      </c>
      <c r="R4" s="22" t="s">
        <v>32</v>
      </c>
      <c r="S4" s="22" t="s">
        <v>33</v>
      </c>
      <c r="T4" s="22" t="s">
        <v>34</v>
      </c>
      <c r="U4" s="22" t="s">
        <v>35</v>
      </c>
      <c r="V4" s="22" t="s">
        <v>36</v>
      </c>
      <c r="W4" s="22" t="s">
        <v>37</v>
      </c>
      <c r="X4" s="22" t="s">
        <v>38</v>
      </c>
      <c r="Y4" s="22" t="s">
        <v>39</v>
      </c>
      <c r="Z4" s="22" t="s">
        <v>40</v>
      </c>
      <c r="AA4" s="22" t="s">
        <v>41</v>
      </c>
      <c r="AB4" s="22" t="s">
        <v>42</v>
      </c>
      <c r="AC4" s="22" t="s">
        <v>43</v>
      </c>
      <c r="AD4" s="22" t="s">
        <v>44</v>
      </c>
      <c r="AE4" s="22" t="s">
        <v>45</v>
      </c>
      <c r="AF4" s="22" t="s">
        <v>46</v>
      </c>
      <c r="AG4" s="22" t="s">
        <v>47</v>
      </c>
      <c r="AH4" s="22" t="s">
        <v>48</v>
      </c>
      <c r="AI4" s="22" t="s">
        <v>49</v>
      </c>
      <c r="AJ4" s="22" t="s">
        <v>50</v>
      </c>
      <c r="AK4" s="22" t="s">
        <v>51</v>
      </c>
    </row>
    <row r="5" spans="1:37" ht="15" customHeight="1">
      <c r="A5" s="4" t="s">
        <v>61</v>
      </c>
      <c r="B5" s="23">
        <v>6991.6739354560796</v>
      </c>
      <c r="C5" s="23">
        <v>7680.1984137730897</v>
      </c>
      <c r="D5" s="23">
        <v>8480.1742475856208</v>
      </c>
      <c r="E5" s="23">
        <v>8315.1953464858307</v>
      </c>
      <c r="F5" s="23">
        <v>7577.3823217068702</v>
      </c>
      <c r="G5" s="23">
        <v>7889.4001734850599</v>
      </c>
      <c r="H5" s="23">
        <v>8166.7352020554899</v>
      </c>
      <c r="I5" s="23">
        <v>7631.6955895555002</v>
      </c>
      <c r="J5" s="23">
        <v>7179.2623536916099</v>
      </c>
      <c r="K5" s="23">
        <v>7314.4195343638803</v>
      </c>
      <c r="L5" s="23">
        <v>8189.9709029085698</v>
      </c>
      <c r="M5" s="23">
        <v>8038.6798300237097</v>
      </c>
      <c r="N5" s="23">
        <v>7091.5449227142299</v>
      </c>
      <c r="O5" s="23">
        <v>4281.0626636197503</v>
      </c>
      <c r="P5" s="23">
        <v>6266.0529029396803</v>
      </c>
      <c r="Q5" s="23">
        <v>7676.27181329425</v>
      </c>
      <c r="R5" s="23">
        <v>7204.8052754215496</v>
      </c>
      <c r="S5" s="23">
        <v>7670.39140404111</v>
      </c>
      <c r="T5" s="23">
        <v>8234.8656460976108</v>
      </c>
      <c r="U5" s="23">
        <v>8587.7641257261603</v>
      </c>
      <c r="V5" s="23">
        <v>8061.0553853218698</v>
      </c>
      <c r="W5" s="23">
        <v>7824.3625523375504</v>
      </c>
      <c r="X5" s="23">
        <v>7725.1190024588996</v>
      </c>
      <c r="Y5" s="23">
        <v>7837.2874140775202</v>
      </c>
      <c r="Z5" s="23">
        <v>7797.4918477844503</v>
      </c>
      <c r="AA5" s="23">
        <v>7602.8290107712601</v>
      </c>
      <c r="AB5" s="23">
        <v>7431.3661595350604</v>
      </c>
      <c r="AC5" s="23">
        <v>7080.5994228869804</v>
      </c>
      <c r="AD5" s="23">
        <v>6829.1419538422497</v>
      </c>
      <c r="AE5" s="23">
        <v>6949.83404732279</v>
      </c>
      <c r="AF5" s="23">
        <v>6766.3272721413196</v>
      </c>
      <c r="AG5" s="23">
        <v>6603.3970419962297</v>
      </c>
      <c r="AH5" s="23">
        <v>6218.6882649491399</v>
      </c>
      <c r="AI5" s="23">
        <v>6154.2481886027499</v>
      </c>
      <c r="AJ5" s="23">
        <v>6687.9442218739496</v>
      </c>
      <c r="AK5" s="23">
        <v>6914.2397603559702</v>
      </c>
    </row>
    <row r="6" spans="1:37" ht="15" customHeight="1">
      <c r="A6" s="4" t="s">
        <v>62</v>
      </c>
      <c r="B6" s="23">
        <v>4891.8915331034596</v>
      </c>
      <c r="C6" s="23">
        <v>8506.6980410282194</v>
      </c>
      <c r="D6" s="23">
        <v>6706.3932905292604</v>
      </c>
      <c r="E6" s="23">
        <v>4259.0728963902502</v>
      </c>
      <c r="F6" s="23">
        <v>5063.9689938322799</v>
      </c>
      <c r="G6" s="23">
        <v>9000.0371489536701</v>
      </c>
      <c r="H6" s="23">
        <v>6570.1357285756103</v>
      </c>
      <c r="I6" s="23">
        <v>4445.88611168849</v>
      </c>
      <c r="J6" s="23">
        <v>5341.6699816497703</v>
      </c>
      <c r="K6" s="23">
        <v>8907.7556679256395</v>
      </c>
      <c r="L6" s="23">
        <v>7245.0528475772899</v>
      </c>
      <c r="M6" s="23">
        <v>4380.4065184171504</v>
      </c>
      <c r="N6" s="23">
        <v>5603.7298469744601</v>
      </c>
      <c r="O6" s="23">
        <v>8866.8190273074906</v>
      </c>
      <c r="P6" s="23">
        <v>7589.4639803975897</v>
      </c>
      <c r="Q6" s="23">
        <v>5030.7802701762803</v>
      </c>
      <c r="R6" s="23">
        <v>5777.6967946448804</v>
      </c>
      <c r="S6" s="23">
        <v>9801.7684848427707</v>
      </c>
      <c r="T6" s="23">
        <v>7506.2800366813699</v>
      </c>
      <c r="U6" s="23">
        <v>4908.8137307157203</v>
      </c>
      <c r="V6" s="23">
        <v>5995.0887792344101</v>
      </c>
      <c r="W6" s="23">
        <v>9981.8125672804908</v>
      </c>
      <c r="X6" s="23">
        <v>7754.4880450662504</v>
      </c>
      <c r="Y6" s="23">
        <v>4744.1043262479097</v>
      </c>
      <c r="Z6" s="23">
        <v>5896.4960685435599</v>
      </c>
      <c r="AA6" s="23">
        <v>10363.029151348601</v>
      </c>
      <c r="AB6" s="23">
        <v>8624.8934757422303</v>
      </c>
      <c r="AC6" s="23">
        <v>5509.7620334473204</v>
      </c>
      <c r="AD6" s="23">
        <v>5557.873837436</v>
      </c>
      <c r="AE6" s="23">
        <v>10895.8063489612</v>
      </c>
      <c r="AF6" s="23">
        <v>7826.2043045433802</v>
      </c>
      <c r="AG6" s="23">
        <v>4930.8669084285102</v>
      </c>
      <c r="AH6" s="23">
        <v>5976.4271433225604</v>
      </c>
      <c r="AI6" s="23">
        <v>10942.537779907199</v>
      </c>
      <c r="AJ6" s="23">
        <v>8704.3654795460498</v>
      </c>
      <c r="AK6" s="23">
        <v>5531.7520052773898</v>
      </c>
    </row>
    <row r="7" spans="1:37" ht="15" customHeight="1">
      <c r="A7" s="4" t="s">
        <v>86</v>
      </c>
      <c r="B7" s="23">
        <v>1258.1606231082701</v>
      </c>
      <c r="C7" s="23">
        <v>1241.3056692299799</v>
      </c>
      <c r="D7" s="23">
        <v>1284.9769907462501</v>
      </c>
      <c r="E7" s="23">
        <v>1341.3255227900399</v>
      </c>
      <c r="F7" s="23">
        <v>1288.85610568876</v>
      </c>
      <c r="G7" s="23">
        <v>1319.2714753140001</v>
      </c>
      <c r="H7" s="23">
        <v>1357.2591570768</v>
      </c>
      <c r="I7" s="23">
        <v>1433.00844130109</v>
      </c>
      <c r="J7" s="23">
        <v>1418.4064306857099</v>
      </c>
      <c r="K7" s="23">
        <v>1444.96218480231</v>
      </c>
      <c r="L7" s="23">
        <v>1461.9245241139899</v>
      </c>
      <c r="M7" s="23">
        <v>1477.8685395908799</v>
      </c>
      <c r="N7" s="23">
        <v>1457.26598427201</v>
      </c>
      <c r="O7" s="23">
        <v>1206.1630263105601</v>
      </c>
      <c r="P7" s="23">
        <v>1332.7093802489201</v>
      </c>
      <c r="Q7" s="23">
        <v>1513.45732433426</v>
      </c>
      <c r="R7" s="23">
        <v>1446.8436909142099</v>
      </c>
      <c r="S7" s="23">
        <v>1462.20012702542</v>
      </c>
      <c r="T7" s="23">
        <v>1517.47333260029</v>
      </c>
      <c r="U7" s="23">
        <v>1608.12137170199</v>
      </c>
      <c r="V7" s="23">
        <v>1569.45890170302</v>
      </c>
      <c r="W7" s="23">
        <v>1535.39415842992</v>
      </c>
      <c r="X7" s="23">
        <v>1574.0412182504001</v>
      </c>
      <c r="Y7" s="23">
        <v>1653.5794794302401</v>
      </c>
      <c r="Z7" s="23">
        <v>1606.53241189355</v>
      </c>
      <c r="AA7" s="23">
        <v>1588.0375528770101</v>
      </c>
      <c r="AB7" s="23">
        <v>1647.1173590298199</v>
      </c>
      <c r="AC7" s="23">
        <v>1761.8513807654599</v>
      </c>
      <c r="AD7" s="23">
        <v>1706.95057440645</v>
      </c>
      <c r="AE7" s="23">
        <v>1645.9067535515901</v>
      </c>
      <c r="AF7" s="23">
        <v>1649.9171986326901</v>
      </c>
      <c r="AG7" s="23">
        <v>1743.82800134949</v>
      </c>
      <c r="AH7" s="23">
        <v>1682.90240674233</v>
      </c>
      <c r="AI7" s="23">
        <v>1631.6033870245101</v>
      </c>
      <c r="AJ7" s="23">
        <v>1685.4952271938901</v>
      </c>
      <c r="AK7" s="23">
        <v>1730.81422746054</v>
      </c>
    </row>
    <row r="8" spans="1:37" ht="15" customHeight="1">
      <c r="A8" s="4" t="s">
        <v>87</v>
      </c>
      <c r="B8" s="23">
        <v>11195.460743738</v>
      </c>
      <c r="C8" s="23">
        <v>9329.9288069271806</v>
      </c>
      <c r="D8" s="23">
        <v>10345.3750707827</v>
      </c>
      <c r="E8" s="23">
        <v>9600.4383187414805</v>
      </c>
      <c r="F8" s="23">
        <v>10189.8306411349</v>
      </c>
      <c r="G8" s="23">
        <v>10836.3441473003</v>
      </c>
      <c r="H8" s="23">
        <v>10532.402195487601</v>
      </c>
      <c r="I8" s="23">
        <v>9830.4640962666908</v>
      </c>
      <c r="J8" s="23">
        <v>10199.613121476499</v>
      </c>
      <c r="K8" s="23">
        <v>10756.894065567099</v>
      </c>
      <c r="L8" s="23">
        <v>10650.6779049864</v>
      </c>
      <c r="M8" s="23">
        <v>10192.557780757799</v>
      </c>
      <c r="N8" s="23">
        <v>10208.8001651823</v>
      </c>
      <c r="O8" s="23">
        <v>10472.263268997</v>
      </c>
      <c r="P8" s="23">
        <v>10591.394013028301</v>
      </c>
      <c r="Q8" s="23">
        <v>10132.258883247199</v>
      </c>
      <c r="R8" s="23">
        <v>10654.9621367171</v>
      </c>
      <c r="S8" s="23">
        <v>10652.4727145871</v>
      </c>
      <c r="T8" s="23">
        <v>10527.3232948238</v>
      </c>
      <c r="U8" s="23">
        <v>10688.459610215001</v>
      </c>
      <c r="V8" s="23">
        <v>11656.0736304938</v>
      </c>
      <c r="W8" s="23">
        <v>9749.7809285884596</v>
      </c>
      <c r="X8" s="23">
        <v>11310.0799907294</v>
      </c>
      <c r="Y8" s="23">
        <v>10939.224699199</v>
      </c>
      <c r="Z8" s="23">
        <v>11038.0733599616</v>
      </c>
      <c r="AA8" s="23">
        <v>11624.1426462932</v>
      </c>
      <c r="AB8" s="23">
        <v>11588.995219243099</v>
      </c>
      <c r="AC8" s="23">
        <v>11005.4441743562</v>
      </c>
      <c r="AD8" s="23">
        <v>11454.359550573099</v>
      </c>
      <c r="AE8" s="23">
        <v>11926.6391013745</v>
      </c>
      <c r="AF8" s="23">
        <v>11687.885590821201</v>
      </c>
      <c r="AG8" s="23">
        <v>11380.4747748176</v>
      </c>
      <c r="AH8" s="23">
        <v>11565.034766544301</v>
      </c>
      <c r="AI8" s="23">
        <v>12243.875146377</v>
      </c>
      <c r="AJ8" s="23">
        <v>12337.4975529199</v>
      </c>
      <c r="AK8" s="23">
        <v>11212.949995756</v>
      </c>
    </row>
    <row r="9" spans="1:37" ht="15" customHeight="1">
      <c r="A9" s="4" t="s">
        <v>88</v>
      </c>
      <c r="B9" s="23">
        <v>3376.2931290005999</v>
      </c>
      <c r="C9" s="23">
        <v>3317.92355098383</v>
      </c>
      <c r="D9" s="23">
        <v>3695.05995182881</v>
      </c>
      <c r="E9" s="23">
        <v>3852.6115570317402</v>
      </c>
      <c r="F9" s="23">
        <v>3636.5938594296899</v>
      </c>
      <c r="G9" s="23">
        <v>3576.2037991910702</v>
      </c>
      <c r="H9" s="23">
        <v>3212.1509239768702</v>
      </c>
      <c r="I9" s="23">
        <v>4133.92649984727</v>
      </c>
      <c r="J9" s="23">
        <v>3608.1419510241199</v>
      </c>
      <c r="K9" s="23">
        <v>3349.5104729515601</v>
      </c>
      <c r="L9" s="23">
        <v>3803.7952660099099</v>
      </c>
      <c r="M9" s="23">
        <v>3951.1085201566102</v>
      </c>
      <c r="N9" s="23">
        <v>4154.0967676195496</v>
      </c>
      <c r="O9" s="23">
        <v>2034.91873196194</v>
      </c>
      <c r="P9" s="23">
        <v>3069.4897273118099</v>
      </c>
      <c r="Q9" s="23">
        <v>4347.4139620422002</v>
      </c>
      <c r="R9" s="23">
        <v>3623.5902699356998</v>
      </c>
      <c r="S9" s="23">
        <v>3257.58257881803</v>
      </c>
      <c r="T9" s="23">
        <v>3181.7964676921802</v>
      </c>
      <c r="U9" s="23">
        <v>3511.5672030764599</v>
      </c>
      <c r="V9" s="23">
        <v>3290.1745971912201</v>
      </c>
      <c r="W9" s="23">
        <v>3416.7397519669098</v>
      </c>
      <c r="X9" s="23">
        <v>3711.21137144462</v>
      </c>
      <c r="Y9" s="23">
        <v>3806.6005736516199</v>
      </c>
      <c r="Z9" s="23">
        <v>3691.2250174726701</v>
      </c>
      <c r="AA9" s="23">
        <v>3561.30347662348</v>
      </c>
      <c r="AB9" s="23">
        <v>3768.7345591717199</v>
      </c>
      <c r="AC9" s="23">
        <v>3860.37964760667</v>
      </c>
      <c r="AD9" s="23">
        <v>3613.2973336242098</v>
      </c>
      <c r="AE9" s="23">
        <v>3584.7600641182398</v>
      </c>
      <c r="AF9" s="23">
        <v>3835.19450149764</v>
      </c>
      <c r="AG9" s="23">
        <v>4101.6884365351298</v>
      </c>
      <c r="AH9" s="23">
        <v>3875.7056792334902</v>
      </c>
      <c r="AI9" s="23">
        <v>3602.9132762741001</v>
      </c>
      <c r="AJ9" s="23">
        <v>3787.52685479313</v>
      </c>
      <c r="AK9" s="23">
        <v>3949.4097628531399</v>
      </c>
    </row>
    <row r="10" spans="1:37" ht="15" customHeight="1">
      <c r="A10" s="4" t="s">
        <v>89</v>
      </c>
      <c r="B10" s="23">
        <v>3251.5604297945201</v>
      </c>
      <c r="C10" s="23">
        <v>3302.5314312820301</v>
      </c>
      <c r="D10" s="23">
        <v>3520.23144277866</v>
      </c>
      <c r="E10" s="23">
        <v>3698.7054484220098</v>
      </c>
      <c r="F10" s="23">
        <v>3417.8003939980499</v>
      </c>
      <c r="G10" s="23">
        <v>3550.1067002903401</v>
      </c>
      <c r="H10" s="23">
        <v>3739.4300590112498</v>
      </c>
      <c r="I10" s="23">
        <v>3602.7234196010199</v>
      </c>
      <c r="J10" s="23">
        <v>3689.97711843759</v>
      </c>
      <c r="K10" s="23">
        <v>3696.4389556293199</v>
      </c>
      <c r="L10" s="23">
        <v>3699.9575057348002</v>
      </c>
      <c r="M10" s="23">
        <v>3387.6217724124499</v>
      </c>
      <c r="N10" s="23">
        <v>3283.49180218839</v>
      </c>
      <c r="O10" s="23">
        <v>2380.9601377191402</v>
      </c>
      <c r="P10" s="23">
        <v>2291.7758379463598</v>
      </c>
      <c r="Q10" s="23">
        <v>2658.2098205381099</v>
      </c>
      <c r="R10" s="23">
        <v>2905.7942544379598</v>
      </c>
      <c r="S10" s="23">
        <v>3094.2116449556202</v>
      </c>
      <c r="T10" s="23">
        <v>3255.6672292657399</v>
      </c>
      <c r="U10" s="23">
        <v>3491.9741070884102</v>
      </c>
      <c r="V10" s="23">
        <v>3515.71945260333</v>
      </c>
      <c r="W10" s="23">
        <v>3710.8357781774098</v>
      </c>
      <c r="X10" s="23">
        <v>3901.4076196833898</v>
      </c>
      <c r="Y10" s="23">
        <v>3723.0845936372298</v>
      </c>
      <c r="Z10" s="23">
        <v>3640.5726775776202</v>
      </c>
      <c r="AA10" s="23">
        <v>3882.8840099570102</v>
      </c>
      <c r="AB10" s="23">
        <v>4102.5736446128503</v>
      </c>
      <c r="AC10" s="23">
        <v>3865.7342685445001</v>
      </c>
      <c r="AD10" s="23">
        <v>3704.4577451882701</v>
      </c>
      <c r="AE10" s="23">
        <v>3915.8095021240501</v>
      </c>
      <c r="AF10" s="23">
        <v>4123.9296108894196</v>
      </c>
      <c r="AG10" s="23">
        <v>4105.1629907824199</v>
      </c>
      <c r="AH10" s="23">
        <v>3947.6985655953099</v>
      </c>
      <c r="AI10" s="23">
        <v>4161.1701714165401</v>
      </c>
      <c r="AJ10" s="23">
        <v>4101.3507701892104</v>
      </c>
      <c r="AK10" s="23">
        <v>4205.8807453489799</v>
      </c>
    </row>
    <row r="11" spans="1:37" ht="15" customHeight="1">
      <c r="A11" s="4" t="s">
        <v>90</v>
      </c>
      <c r="B11" s="23">
        <v>11180.4099954999</v>
      </c>
      <c r="C11" s="23">
        <v>11620.691845428601</v>
      </c>
      <c r="D11" s="23">
        <v>11879.048124709099</v>
      </c>
      <c r="E11" s="23">
        <v>12096.4182488684</v>
      </c>
      <c r="F11" s="23">
        <v>12193.8014777891</v>
      </c>
      <c r="G11" s="23">
        <v>12246.2823165145</v>
      </c>
      <c r="H11" s="23">
        <v>11981.8093347628</v>
      </c>
      <c r="I11" s="23">
        <v>11727.7518899887</v>
      </c>
      <c r="J11" s="23">
        <v>12281.416862489599</v>
      </c>
      <c r="K11" s="23">
        <v>12771.6418563962</v>
      </c>
      <c r="L11" s="23">
        <v>12402.9834645258</v>
      </c>
      <c r="M11" s="23">
        <v>12750.071429747801</v>
      </c>
      <c r="N11" s="23">
        <v>12529.2763502535</v>
      </c>
      <c r="O11" s="23">
        <v>11412.256552761901</v>
      </c>
      <c r="P11" s="23">
        <v>11654.8697295044</v>
      </c>
      <c r="Q11" s="23">
        <v>11756.3871630471</v>
      </c>
      <c r="R11" s="23">
        <v>11852.387588375999</v>
      </c>
      <c r="S11" s="23">
        <v>11592.587285296901</v>
      </c>
      <c r="T11" s="23">
        <v>12598.6252249184</v>
      </c>
      <c r="U11" s="23">
        <v>12860.9488689072</v>
      </c>
      <c r="V11" s="23">
        <v>13143.115768887899</v>
      </c>
      <c r="W11" s="23">
        <v>12666.7602237092</v>
      </c>
      <c r="X11" s="23">
        <v>12954.850445243301</v>
      </c>
      <c r="Y11" s="23">
        <v>12277.868847252101</v>
      </c>
      <c r="Z11" s="23">
        <v>12721.8051329676</v>
      </c>
      <c r="AA11" s="23">
        <v>12786.362737343001</v>
      </c>
      <c r="AB11" s="23">
        <v>13161.021901043399</v>
      </c>
      <c r="AC11" s="23">
        <v>14093.4295039729</v>
      </c>
      <c r="AD11" s="23">
        <v>13403.378485879401</v>
      </c>
      <c r="AE11" s="23">
        <v>13290.438798491999</v>
      </c>
      <c r="AF11" s="23">
        <v>13375.0978852477</v>
      </c>
      <c r="AG11" s="23">
        <v>12952.1161996432</v>
      </c>
      <c r="AH11" s="23">
        <v>12502.45303103</v>
      </c>
      <c r="AI11" s="23">
        <v>12674.850606460799</v>
      </c>
      <c r="AJ11" s="23">
        <v>13033.7552951211</v>
      </c>
      <c r="AK11" s="23">
        <v>12979.176310157</v>
      </c>
    </row>
    <row r="12" spans="1:37" ht="15" customHeight="1">
      <c r="A12" s="4" t="s">
        <v>68</v>
      </c>
      <c r="B12" s="23">
        <v>8490.6525765886799</v>
      </c>
      <c r="C12" s="23">
        <v>9233.3166380659095</v>
      </c>
      <c r="D12" s="23">
        <v>9627.6519156300092</v>
      </c>
      <c r="E12" s="23">
        <v>9361.9743073158006</v>
      </c>
      <c r="F12" s="23">
        <v>9035.4099931149995</v>
      </c>
      <c r="G12" s="23">
        <v>9530.94336631429</v>
      </c>
      <c r="H12" s="23">
        <v>9564.8975042923703</v>
      </c>
      <c r="I12" s="23">
        <v>9693.2419216223698</v>
      </c>
      <c r="J12" s="23">
        <v>9535.2518595072906</v>
      </c>
      <c r="K12" s="23">
        <v>9811.0651004727206</v>
      </c>
      <c r="L12" s="23">
        <v>10262.708138088499</v>
      </c>
      <c r="M12" s="23">
        <v>9160.0267557204097</v>
      </c>
      <c r="N12" s="23">
        <v>9147.8825159140706</v>
      </c>
      <c r="O12" s="23">
        <v>6459.8522269298701</v>
      </c>
      <c r="P12" s="23">
        <v>8157.9855908263798</v>
      </c>
      <c r="Q12" s="23">
        <v>9439.4474503564397</v>
      </c>
      <c r="R12" s="23">
        <v>9101.0459743293504</v>
      </c>
      <c r="S12" s="23">
        <v>9330.8659884254594</v>
      </c>
      <c r="T12" s="23">
        <v>9384.6068543351103</v>
      </c>
      <c r="U12" s="23">
        <v>9362.9527004542506</v>
      </c>
      <c r="V12" s="23">
        <v>9697.1846476469109</v>
      </c>
      <c r="W12" s="23">
        <v>10166.2562609263</v>
      </c>
      <c r="X12" s="23">
        <v>9860.2738853369192</v>
      </c>
      <c r="Y12" s="23">
        <v>9327.7228073702609</v>
      </c>
      <c r="Z12" s="23">
        <v>9802.6624446037404</v>
      </c>
      <c r="AA12" s="23">
        <v>10479.3100879175</v>
      </c>
      <c r="AB12" s="23">
        <v>10479.0411329627</v>
      </c>
      <c r="AC12" s="23">
        <v>9879.3536602318309</v>
      </c>
      <c r="AD12" s="23">
        <v>9393.5259368958996</v>
      </c>
      <c r="AE12" s="23">
        <v>10697.8231983264</v>
      </c>
      <c r="AF12" s="23">
        <v>10946.2738373219</v>
      </c>
      <c r="AG12" s="23">
        <v>10059.524518283501</v>
      </c>
      <c r="AH12" s="23">
        <v>9606.5711906935703</v>
      </c>
      <c r="AI12" s="23">
        <v>10769.9010125527</v>
      </c>
      <c r="AJ12" s="23">
        <v>10915.4783070666</v>
      </c>
      <c r="AK12" s="23">
        <v>10109.677802876</v>
      </c>
    </row>
    <row r="13" spans="1:37" ht="15" customHeight="1">
      <c r="A13" s="4" t="s">
        <v>69</v>
      </c>
      <c r="B13" s="23">
        <v>6256.1453870155401</v>
      </c>
      <c r="C13" s="23">
        <v>7275.7039583394599</v>
      </c>
      <c r="D13" s="23">
        <v>6640.92602270931</v>
      </c>
      <c r="E13" s="23">
        <v>6054.0240491866898</v>
      </c>
      <c r="F13" s="23">
        <v>6340.5620324091196</v>
      </c>
      <c r="G13" s="23">
        <v>7677.6848387589098</v>
      </c>
      <c r="H13" s="23">
        <v>6585.5090965146501</v>
      </c>
      <c r="I13" s="23">
        <v>6473.2392372583599</v>
      </c>
      <c r="J13" s="23">
        <v>6859.61422566479</v>
      </c>
      <c r="K13" s="23">
        <v>7795.0444644711897</v>
      </c>
      <c r="L13" s="23">
        <v>6755.8366030664602</v>
      </c>
      <c r="M13" s="23">
        <v>5966.5869620544099</v>
      </c>
      <c r="N13" s="23">
        <v>6035.4883121769299</v>
      </c>
      <c r="O13" s="23">
        <v>5199.9682079478098</v>
      </c>
      <c r="P13" s="23">
        <v>5337.7285210177097</v>
      </c>
      <c r="Q13" s="23">
        <v>5875.5532569782199</v>
      </c>
      <c r="R13" s="23">
        <v>6313.8599560612802</v>
      </c>
      <c r="S13" s="23">
        <v>7249.2060998589104</v>
      </c>
      <c r="T13" s="23">
        <v>6234.8559345968297</v>
      </c>
      <c r="U13" s="23">
        <v>6137.9297742158196</v>
      </c>
      <c r="V13" s="23">
        <v>6769.52588471119</v>
      </c>
      <c r="W13" s="23">
        <v>7789.3546160349397</v>
      </c>
      <c r="X13" s="23">
        <v>6735.9367746338103</v>
      </c>
      <c r="Y13" s="23">
        <v>6293.4468399649604</v>
      </c>
      <c r="Z13" s="23">
        <v>7002.8190733298297</v>
      </c>
      <c r="AA13" s="23">
        <v>8062.6591318102501</v>
      </c>
      <c r="AB13" s="23">
        <v>6710.7604682479396</v>
      </c>
      <c r="AC13" s="23">
        <v>6114.1345595152698</v>
      </c>
      <c r="AD13" s="23">
        <v>6290.5098238533001</v>
      </c>
      <c r="AE13" s="23">
        <v>7795.1055309837102</v>
      </c>
      <c r="AF13" s="23">
        <v>6696.8289994614997</v>
      </c>
      <c r="AG13" s="23">
        <v>6570.5687957871796</v>
      </c>
      <c r="AH13" s="23">
        <v>6638.8761574923201</v>
      </c>
      <c r="AI13" s="23">
        <v>7824.3239817964204</v>
      </c>
      <c r="AJ13" s="23">
        <v>6477.5717962650797</v>
      </c>
      <c r="AK13" s="23">
        <v>6172.9383072394403</v>
      </c>
    </row>
    <row r="14" spans="1:37" ht="15" customHeight="1">
      <c r="A14" s="4" t="s">
        <v>70</v>
      </c>
      <c r="B14" s="23">
        <v>5270.9545244901701</v>
      </c>
      <c r="C14" s="23">
        <v>5404.2722744303301</v>
      </c>
      <c r="D14" s="23">
        <v>5630.2631567455701</v>
      </c>
      <c r="E14" s="23">
        <v>5678.4557223138199</v>
      </c>
      <c r="F14" s="23">
        <v>5442.6874564033697</v>
      </c>
      <c r="G14" s="23">
        <v>5592.0086386903504</v>
      </c>
      <c r="H14" s="23">
        <v>5774.0249686782099</v>
      </c>
      <c r="I14" s="23">
        <v>5866.4153285413904</v>
      </c>
      <c r="J14" s="23">
        <v>5574.5112975847196</v>
      </c>
      <c r="K14" s="23">
        <v>5746.2319771450002</v>
      </c>
      <c r="L14" s="23">
        <v>5916.1125747333799</v>
      </c>
      <c r="M14" s="23">
        <v>5434.7911064771197</v>
      </c>
      <c r="N14" s="23">
        <v>5099.8028221383302</v>
      </c>
      <c r="O14" s="23">
        <v>3406.00158785038</v>
      </c>
      <c r="P14" s="23">
        <v>4371.9310188004101</v>
      </c>
      <c r="Q14" s="23">
        <v>5245.9868939696298</v>
      </c>
      <c r="R14" s="23">
        <v>4872.5071295955304</v>
      </c>
      <c r="S14" s="23">
        <v>5089.0708323730396</v>
      </c>
      <c r="T14" s="23">
        <v>5370.43321922006</v>
      </c>
      <c r="U14" s="23">
        <v>5485.78684475929</v>
      </c>
      <c r="V14" s="23">
        <v>5194.0199240347301</v>
      </c>
      <c r="W14" s="23">
        <v>5520.7437110854798</v>
      </c>
      <c r="X14" s="23">
        <v>5683.6342734386599</v>
      </c>
      <c r="Y14" s="23">
        <v>5476.6497561641099</v>
      </c>
      <c r="Z14" s="23">
        <v>5290.8792544326698</v>
      </c>
      <c r="AA14" s="23">
        <v>5523.1701920602</v>
      </c>
      <c r="AB14" s="23">
        <v>5713.2230447661996</v>
      </c>
      <c r="AC14" s="23">
        <v>5853.2395907879099</v>
      </c>
      <c r="AD14" s="23">
        <v>5377.3148396087299</v>
      </c>
      <c r="AE14" s="23">
        <v>5671.67342640675</v>
      </c>
      <c r="AF14" s="23">
        <v>5699.9551026305899</v>
      </c>
      <c r="AG14" s="23">
        <v>5635.5880004623696</v>
      </c>
      <c r="AH14" s="23">
        <v>5363.2446303482002</v>
      </c>
      <c r="AI14" s="23">
        <v>5485.46023976587</v>
      </c>
      <c r="AJ14" s="23">
        <v>5775.9308201863496</v>
      </c>
      <c r="AK14" s="23">
        <v>5558.5501783659001</v>
      </c>
    </row>
    <row r="15" spans="1:37" ht="15" customHeight="1">
      <c r="A15" s="4" t="s">
        <v>71</v>
      </c>
      <c r="B15" s="23">
        <v>5143.1444646677101</v>
      </c>
      <c r="C15" s="23">
        <v>5136.2316008213002</v>
      </c>
      <c r="D15" s="23">
        <v>5956.4448248669396</v>
      </c>
      <c r="E15" s="23">
        <v>6251.07170139953</v>
      </c>
      <c r="F15" s="23">
        <v>4949.6975519599</v>
      </c>
      <c r="G15" s="23">
        <v>5689.0473537074304</v>
      </c>
      <c r="H15" s="23">
        <v>6435.6125124601203</v>
      </c>
      <c r="I15" s="23">
        <v>6640.0098648223302</v>
      </c>
      <c r="J15" s="23">
        <v>5736.4289714017104</v>
      </c>
      <c r="K15" s="23">
        <v>6241.4123262633802</v>
      </c>
      <c r="L15" s="23">
        <v>6607.6648908556999</v>
      </c>
      <c r="M15" s="23">
        <v>5690.3891498698104</v>
      </c>
      <c r="N15" s="23">
        <v>4032.2926886466698</v>
      </c>
      <c r="O15" s="23">
        <v>2293.3378676730899</v>
      </c>
      <c r="P15" s="23">
        <v>3984.5147879614501</v>
      </c>
      <c r="Q15" s="23">
        <v>5126.77524862067</v>
      </c>
      <c r="R15" s="23">
        <v>3925.6478284365298</v>
      </c>
      <c r="S15" s="23">
        <v>4554.6263435394703</v>
      </c>
      <c r="T15" s="23">
        <v>5207.3297672905801</v>
      </c>
      <c r="U15" s="23">
        <v>5335.3671871918305</v>
      </c>
      <c r="V15" s="23">
        <v>4387.2818884651897</v>
      </c>
      <c r="W15" s="23">
        <v>4558.8018673882998</v>
      </c>
      <c r="X15" s="23">
        <v>4967.0521022615203</v>
      </c>
      <c r="Y15" s="23">
        <v>5144.7626883966996</v>
      </c>
      <c r="Z15" s="23">
        <v>4396.2158585322004</v>
      </c>
      <c r="AA15" s="23">
        <v>4744.7548471317205</v>
      </c>
      <c r="AB15" s="23">
        <v>5189.6053414846601</v>
      </c>
      <c r="AC15" s="23">
        <v>5477.9170214814403</v>
      </c>
      <c r="AD15" s="23">
        <v>4732.1475458855803</v>
      </c>
      <c r="AE15" s="23">
        <v>4729.8887436548002</v>
      </c>
      <c r="AF15" s="23">
        <v>4975.3141956835898</v>
      </c>
      <c r="AG15" s="23">
        <v>5274.0543087391598</v>
      </c>
      <c r="AH15" s="23">
        <v>3983.5332256695101</v>
      </c>
      <c r="AI15" s="23">
        <v>4336.7508195028704</v>
      </c>
      <c r="AJ15" s="23">
        <v>4372.8291826816703</v>
      </c>
      <c r="AK15" s="23">
        <v>4342.67689972072</v>
      </c>
    </row>
    <row r="16" spans="1:37" ht="15" customHeight="1">
      <c r="A16" s="4" t="s">
        <v>91</v>
      </c>
      <c r="B16" s="23">
        <v>7927.8613410409898</v>
      </c>
      <c r="C16" s="23">
        <v>8127.7194324396196</v>
      </c>
      <c r="D16" s="23">
        <v>8794.0921642572303</v>
      </c>
      <c r="E16" s="23">
        <v>8877.9469380896007</v>
      </c>
      <c r="F16" s="23">
        <v>8344.7301977273</v>
      </c>
      <c r="G16" s="23">
        <v>8529.13859805215</v>
      </c>
      <c r="H16" s="23">
        <v>8978.7946730252806</v>
      </c>
      <c r="I16" s="23">
        <v>9165.8082000934101</v>
      </c>
      <c r="J16" s="23">
        <v>8823.9988669709401</v>
      </c>
      <c r="K16" s="23">
        <v>8699.81136268714</v>
      </c>
      <c r="L16" s="23">
        <v>8912.1029057835094</v>
      </c>
      <c r="M16" s="23">
        <v>8337.7664417125998</v>
      </c>
      <c r="N16" s="23">
        <v>7719.6047721885698</v>
      </c>
      <c r="O16" s="23">
        <v>5872.7334754559897</v>
      </c>
      <c r="P16" s="23">
        <v>7234.8812979288996</v>
      </c>
      <c r="Q16" s="23">
        <v>7857.2933229476503</v>
      </c>
      <c r="R16" s="23">
        <v>7197.1733472033402</v>
      </c>
      <c r="S16" s="23">
        <v>7777.64169558094</v>
      </c>
      <c r="T16" s="23">
        <v>8202.8170923002399</v>
      </c>
      <c r="U16" s="23">
        <v>8373.8825183122099</v>
      </c>
      <c r="V16" s="23">
        <v>8259.92445157168</v>
      </c>
      <c r="W16" s="23">
        <v>8333.2259641937399</v>
      </c>
      <c r="X16" s="23">
        <v>7790.3586068169998</v>
      </c>
      <c r="Y16" s="23">
        <v>7714.9624900320396</v>
      </c>
      <c r="Z16" s="23">
        <v>8731.0618814944901</v>
      </c>
      <c r="AA16" s="23">
        <v>7944.8027260704202</v>
      </c>
      <c r="AB16" s="23">
        <v>8176.8119873669502</v>
      </c>
      <c r="AC16" s="23">
        <v>7749.98167206992</v>
      </c>
      <c r="AD16" s="23">
        <v>7603.2022568203702</v>
      </c>
      <c r="AE16" s="23">
        <v>7836.6222059357797</v>
      </c>
      <c r="AF16" s="23">
        <v>7797.0760863565802</v>
      </c>
      <c r="AG16" s="23">
        <v>7438.8251516167402</v>
      </c>
      <c r="AH16" s="23">
        <v>6836.6446559301303</v>
      </c>
      <c r="AI16" s="23">
        <v>6535.6541409518804</v>
      </c>
      <c r="AJ16" s="23">
        <v>6501.7406035047798</v>
      </c>
      <c r="AK16" s="23">
        <v>6758.47129091447</v>
      </c>
    </row>
    <row r="17" spans="1:37" ht="15" customHeight="1">
      <c r="A17" s="4" t="s">
        <v>92</v>
      </c>
      <c r="B17" s="23">
        <v>67306.347342462905</v>
      </c>
      <c r="C17" s="23">
        <v>72048.802230309899</v>
      </c>
      <c r="D17" s="23">
        <v>73766.545038912198</v>
      </c>
      <c r="E17" s="23">
        <v>70509.293118945599</v>
      </c>
      <c r="F17" s="23">
        <v>69136.590827466993</v>
      </c>
      <c r="G17" s="23">
        <v>76907.329958519898</v>
      </c>
      <c r="H17" s="23">
        <v>73919.966682891798</v>
      </c>
      <c r="I17" s="23">
        <v>71478.362400493206</v>
      </c>
      <c r="J17" s="23">
        <v>71406.255369898994</v>
      </c>
      <c r="K17" s="23">
        <v>77659.968589257303</v>
      </c>
      <c r="L17" s="23">
        <v>76934.304060582203</v>
      </c>
      <c r="M17" s="23">
        <v>70533.988085780904</v>
      </c>
      <c r="N17" s="23">
        <v>68732.617893201299</v>
      </c>
      <c r="O17" s="23">
        <v>57971.843135577001</v>
      </c>
      <c r="P17" s="23">
        <v>64606.244448936697</v>
      </c>
      <c r="Q17" s="23">
        <v>68836.125560635293</v>
      </c>
      <c r="R17" s="23">
        <v>67749.857721512599</v>
      </c>
      <c r="S17" s="23">
        <v>73579.532160678995</v>
      </c>
      <c r="T17" s="23">
        <v>72889.576641238804</v>
      </c>
      <c r="U17" s="23">
        <v>72025.645824590902</v>
      </c>
      <c r="V17" s="23">
        <v>73347.168411331804</v>
      </c>
      <c r="W17" s="23">
        <v>76768.990565477201</v>
      </c>
      <c r="X17" s="23">
        <v>76104.757824797707</v>
      </c>
      <c r="Y17" s="23">
        <v>71237.236853808994</v>
      </c>
      <c r="Z17" s="23">
        <v>72937.857003179699</v>
      </c>
      <c r="AA17" s="23">
        <v>79970.877358755795</v>
      </c>
      <c r="AB17" s="23">
        <v>78126.3679979101</v>
      </c>
      <c r="AC17" s="23">
        <v>74102.510265373901</v>
      </c>
      <c r="AD17" s="23">
        <v>71791.279556498703</v>
      </c>
      <c r="AE17" s="23">
        <v>80819.130999697503</v>
      </c>
      <c r="AF17" s="23">
        <v>77232.473791115306</v>
      </c>
      <c r="AG17" s="23">
        <v>72986.524196341299</v>
      </c>
      <c r="AH17" s="23">
        <v>71046.054397748507</v>
      </c>
      <c r="AI17" s="23">
        <v>79320.485794222594</v>
      </c>
      <c r="AJ17" s="23">
        <v>77568.079167268093</v>
      </c>
      <c r="AK17" s="23">
        <v>72565.301711712702</v>
      </c>
    </row>
    <row r="18" spans="1:37" ht="15" customHeight="1">
      <c r="A18" s="3" t="s">
        <v>93</v>
      </c>
      <c r="B18" s="24">
        <v>75234.208683503894</v>
      </c>
      <c r="C18" s="24">
        <v>80176.521662749597</v>
      </c>
      <c r="D18" s="24">
        <v>82560.637203169506</v>
      </c>
      <c r="E18" s="24">
        <v>79387.240057035204</v>
      </c>
      <c r="F18" s="24">
        <v>77481.321025194295</v>
      </c>
      <c r="G18" s="24">
        <v>85436.468556572101</v>
      </c>
      <c r="H18" s="24">
        <v>82898.7613559171</v>
      </c>
      <c r="I18" s="24">
        <v>80644.170600586702</v>
      </c>
      <c r="J18" s="24">
        <v>80209.913343646302</v>
      </c>
      <c r="K18" s="24">
        <v>86412.396280255707</v>
      </c>
      <c r="L18" s="24">
        <v>85874.069705879505</v>
      </c>
      <c r="M18" s="24">
        <v>78883.194626695797</v>
      </c>
      <c r="N18" s="24">
        <v>76531.527298619898</v>
      </c>
      <c r="O18" s="24">
        <v>64029.128878010102</v>
      </c>
      <c r="P18" s="24">
        <v>71919.591331369593</v>
      </c>
      <c r="Q18" s="24">
        <v>76749.604229496807</v>
      </c>
      <c r="R18" s="24">
        <v>75108.513582651198</v>
      </c>
      <c r="S18" s="24">
        <v>81540.754251629507</v>
      </c>
      <c r="T18" s="24">
        <v>81169.020436899693</v>
      </c>
      <c r="U18" s="24">
        <v>80418.566608608104</v>
      </c>
      <c r="V18" s="24">
        <v>81682.424200676207</v>
      </c>
      <c r="W18" s="24">
        <v>85248.038806719604</v>
      </c>
      <c r="X18" s="24">
        <v>84140.721246016998</v>
      </c>
      <c r="Y18" s="24">
        <v>79091.333586641704</v>
      </c>
      <c r="Z18" s="24">
        <v>81528.982069442107</v>
      </c>
      <c r="AA18" s="24">
        <v>88308.193619602898</v>
      </c>
      <c r="AB18" s="24">
        <v>86547.399175942497</v>
      </c>
      <c r="AC18" s="24">
        <v>82086.039982837799</v>
      </c>
      <c r="AD18" s="24">
        <v>79583.897697544802</v>
      </c>
      <c r="AE18" s="24">
        <v>89057.558306004605</v>
      </c>
      <c r="AF18" s="24">
        <v>85333.096902827107</v>
      </c>
      <c r="AG18" s="24">
        <v>80693.838523925602</v>
      </c>
      <c r="AH18" s="24">
        <v>78258.329648141706</v>
      </c>
      <c r="AI18" s="24">
        <v>86588.461701566601</v>
      </c>
      <c r="AJ18" s="24">
        <v>84754.453069790601</v>
      </c>
      <c r="AK18" s="24">
        <v>79771.428778331494</v>
      </c>
    </row>
    <row r="20" spans="1:37" ht="15" customHeight="1">
      <c r="A20" s="2" t="s">
        <v>94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6"/>
  <sheetViews>
    <sheetView tabSelected="1" zoomScaleNormal="100" workbookViewId="0">
      <pane xSplit="2" ySplit="5" topLeftCell="C79" activePane="bottomRight" state="frozen"/>
      <selection pane="topRight" activeCell="C1" sqref="C1"/>
      <selection pane="bottomLeft" activeCell="A6" sqref="A6"/>
      <selection pane="bottomRight" activeCell="L89" sqref="L89"/>
    </sheetView>
  </sheetViews>
  <sheetFormatPr baseColWidth="10" defaultColWidth="8.6640625" defaultRowHeight="14.4"/>
  <cols>
    <col min="1" max="1" width="50" customWidth="1"/>
    <col min="2" max="2" width="15" customWidth="1"/>
    <col min="3" max="12" width="11" customWidth="1"/>
  </cols>
  <sheetData>
    <row r="1" spans="1:12" ht="15" customHeight="1">
      <c r="A1" s="1" t="s">
        <v>95</v>
      </c>
    </row>
    <row r="2" spans="1:12" ht="15" customHeight="1">
      <c r="A2" s="2" t="s">
        <v>96</v>
      </c>
    </row>
    <row r="4" spans="1:12" ht="15" customHeight="1">
      <c r="A4" s="25" t="s">
        <v>97</v>
      </c>
    </row>
    <row r="5" spans="1:12" ht="23.25" customHeight="1">
      <c r="A5" s="6" t="s">
        <v>57</v>
      </c>
      <c r="B5" s="6" t="s">
        <v>98</v>
      </c>
      <c r="C5" s="6" t="s">
        <v>99</v>
      </c>
      <c r="D5" s="6" t="s">
        <v>100</v>
      </c>
      <c r="E5" s="6" t="s">
        <v>101</v>
      </c>
      <c r="F5" s="6" t="s">
        <v>102</v>
      </c>
      <c r="G5" s="6" t="s">
        <v>103</v>
      </c>
      <c r="H5" s="6" t="s">
        <v>104</v>
      </c>
      <c r="I5" s="6" t="s">
        <v>105</v>
      </c>
      <c r="J5" s="6" t="s">
        <v>106</v>
      </c>
      <c r="K5" s="6" t="s">
        <v>107</v>
      </c>
      <c r="L5" s="6" t="s">
        <v>108</v>
      </c>
    </row>
    <row r="6" spans="1:12" ht="15" customHeight="1">
      <c r="A6" s="4" t="s">
        <v>61</v>
      </c>
      <c r="B6" s="26">
        <v>9.9000000000000005E-2</v>
      </c>
      <c r="C6" s="14">
        <f>SUM('INE trimestral sectorial'!B5:C5)</f>
        <v>14671.872349229168</v>
      </c>
      <c r="D6" s="14">
        <f>SUM('INE trimestral sectorial'!F5:G5)</f>
        <v>15466.78249519193</v>
      </c>
      <c r="E6" s="14">
        <f>SUM('INE trimestral sectorial'!J5:K5)</f>
        <v>14493.681888055489</v>
      </c>
      <c r="F6" s="14">
        <f>SUM('INE trimestral sectorial'!N5:O5)</f>
        <v>11372.607586333979</v>
      </c>
      <c r="G6" s="14">
        <f>SUM('INE trimestral sectorial'!R5:S5)</f>
        <v>14875.196679462661</v>
      </c>
      <c r="H6" s="14">
        <f>SUM('INE trimestral sectorial'!V5:W5)</f>
        <v>15885.41793765942</v>
      </c>
      <c r="I6" s="14">
        <f>SUM('INE trimestral sectorial'!Z5:AA5)</f>
        <v>15400.320858555711</v>
      </c>
      <c r="J6" s="14">
        <f>SUM('INE trimestral sectorial'!AD5:AE5)</f>
        <v>13778.97600116504</v>
      </c>
      <c r="K6" s="14">
        <f>SUM('INE trimestral sectorial'!AH5:AI5)</f>
        <v>12372.936453551891</v>
      </c>
      <c r="L6" s="14">
        <f t="shared" ref="L6:L16" si="0">K6*(1+B6)</f>
        <v>13597.857162453527</v>
      </c>
    </row>
    <row r="7" spans="1:12" ht="15" customHeight="1">
      <c r="A7" s="4" t="s">
        <v>62</v>
      </c>
      <c r="B7" s="26">
        <v>3.2000000000000001E-2</v>
      </c>
      <c r="C7" s="14">
        <f>SUM('INE trimestral sectorial'!B6:C6)</f>
        <v>13398.589574131678</v>
      </c>
      <c r="D7" s="14">
        <f>SUM('INE trimestral sectorial'!F6:G6)</f>
        <v>14064.006142785951</v>
      </c>
      <c r="E7" s="14">
        <f>SUM('INE trimestral sectorial'!J6:K6)</f>
        <v>14249.425649575409</v>
      </c>
      <c r="F7" s="14">
        <f>SUM('INE trimestral sectorial'!N6:O6)</f>
        <v>14470.548874281951</v>
      </c>
      <c r="G7" s="14">
        <f>SUM('INE trimestral sectorial'!R6:S6)</f>
        <v>15579.465279487651</v>
      </c>
      <c r="H7" s="14">
        <f>SUM('INE trimestral sectorial'!V6:W6)</f>
        <v>15976.9013465149</v>
      </c>
      <c r="I7" s="14">
        <f>SUM('INE trimestral sectorial'!Z6:AA6)</f>
        <v>16259.525219892161</v>
      </c>
      <c r="J7" s="14">
        <f>SUM('INE trimestral sectorial'!AD6:AE6)</f>
        <v>16453.6801863972</v>
      </c>
      <c r="K7" s="14">
        <f>SUM('INE trimestral sectorial'!AH6:AI6)</f>
        <v>16918.96492322976</v>
      </c>
      <c r="L7" s="14">
        <f t="shared" si="0"/>
        <v>17460.371800773111</v>
      </c>
    </row>
    <row r="8" spans="1:12" ht="15" customHeight="1">
      <c r="A8" s="4" t="s">
        <v>86</v>
      </c>
      <c r="B8" s="26">
        <v>0.02</v>
      </c>
      <c r="C8" s="14">
        <f>SUM('INE trimestral sectorial'!B7:C7)</f>
        <v>2499.4662923382502</v>
      </c>
      <c r="D8" s="14">
        <f>SUM('INE trimestral sectorial'!F7:G7)</f>
        <v>2608.1275810027601</v>
      </c>
      <c r="E8" s="14">
        <f>SUM('INE trimestral sectorial'!J7:K7)</f>
        <v>2863.3686154880197</v>
      </c>
      <c r="F8" s="14">
        <f>SUM('INE trimestral sectorial'!N7:O7)</f>
        <v>2663.4290105825703</v>
      </c>
      <c r="G8" s="14">
        <f>SUM('INE trimestral sectorial'!R7:S7)</f>
        <v>2909.0438179396297</v>
      </c>
      <c r="H8" s="14">
        <f>SUM('INE trimestral sectorial'!V7:W7)</f>
        <v>3104.8530601329403</v>
      </c>
      <c r="I8" s="14">
        <f>SUM('INE trimestral sectorial'!Z7:AA7)</f>
        <v>3194.5699647705601</v>
      </c>
      <c r="J8" s="14">
        <f>SUM('INE trimestral sectorial'!AD7:AE7)</f>
        <v>3352.8573279580401</v>
      </c>
      <c r="K8" s="14">
        <f>SUM('INE trimestral sectorial'!AH7:AI7)</f>
        <v>3314.5057937668398</v>
      </c>
      <c r="L8" s="14">
        <f t="shared" si="0"/>
        <v>3380.7959096421769</v>
      </c>
    </row>
    <row r="9" spans="1:12" ht="15" customHeight="1">
      <c r="A9" s="4" t="s">
        <v>87</v>
      </c>
      <c r="B9" s="26">
        <v>3.0000000000000001E-3</v>
      </c>
      <c r="C9" s="14">
        <f>SUM('INE trimestral sectorial'!B8:C8)</f>
        <v>20525.389550665182</v>
      </c>
      <c r="D9" s="14">
        <f>SUM('INE trimestral sectorial'!F8:G8)</f>
        <v>21026.174788435201</v>
      </c>
      <c r="E9" s="14">
        <f>SUM('INE trimestral sectorial'!J8:K8)</f>
        <v>20956.5071870436</v>
      </c>
      <c r="F9" s="14">
        <f>SUM('INE trimestral sectorial'!N8:O8)</f>
        <v>20681.063434179297</v>
      </c>
      <c r="G9" s="14">
        <f>SUM('INE trimestral sectorial'!R8:S8)</f>
        <v>21307.434851304199</v>
      </c>
      <c r="H9" s="14">
        <f>SUM('INE trimestral sectorial'!V8:W8)</f>
        <v>21405.854559082261</v>
      </c>
      <c r="I9" s="14">
        <f>SUM('INE trimestral sectorial'!Z8:AA8)</f>
        <v>22662.216006254799</v>
      </c>
      <c r="J9" s="14">
        <f>SUM('INE trimestral sectorial'!AD8:AE8)</f>
        <v>23380.998651947601</v>
      </c>
      <c r="K9" s="14">
        <f>SUM('INE trimestral sectorial'!AH8:AI8)</f>
        <v>23808.909912921299</v>
      </c>
      <c r="L9" s="14">
        <f t="shared" si="0"/>
        <v>23880.336642660059</v>
      </c>
    </row>
    <row r="10" spans="1:12" ht="15" customHeight="1">
      <c r="A10" s="4" t="s">
        <v>88</v>
      </c>
      <c r="B10" s="26">
        <v>-1.4E-2</v>
      </c>
      <c r="C10" s="14">
        <f>SUM('INE trimestral sectorial'!B9:C9)</f>
        <v>6694.2166799844299</v>
      </c>
      <c r="D10" s="14">
        <f>SUM('INE trimestral sectorial'!F9:G9)</f>
        <v>7212.7976586207606</v>
      </c>
      <c r="E10" s="14">
        <f>SUM('INE trimestral sectorial'!J9:K9)</f>
        <v>6957.65242397568</v>
      </c>
      <c r="F10" s="14">
        <f>SUM('INE trimestral sectorial'!N9:O9)</f>
        <v>6189.0154995814901</v>
      </c>
      <c r="G10" s="14">
        <f>SUM('INE trimestral sectorial'!R9:S9)</f>
        <v>6881.1728487537293</v>
      </c>
      <c r="H10" s="14">
        <f>SUM('INE trimestral sectorial'!V9:W9)</f>
        <v>6706.9143491581299</v>
      </c>
      <c r="I10" s="14">
        <f>SUM('INE trimestral sectorial'!Z9:AA9)</f>
        <v>7252.5284940961501</v>
      </c>
      <c r="J10" s="14">
        <f>SUM('INE trimestral sectorial'!AD9:AE9)</f>
        <v>7198.0573977424501</v>
      </c>
      <c r="K10" s="14">
        <f>SUM('INE trimestral sectorial'!AH9:AI9)</f>
        <v>7478.6189555075907</v>
      </c>
      <c r="L10" s="14">
        <f t="shared" si="0"/>
        <v>7373.9182901304839</v>
      </c>
    </row>
    <row r="11" spans="1:12" ht="15" customHeight="1">
      <c r="A11" s="4" t="s">
        <v>89</v>
      </c>
      <c r="B11" s="26">
        <v>-2.5999999999999999E-2</v>
      </c>
      <c r="C11" s="14">
        <f>SUM('INE trimestral sectorial'!B10:C10)</f>
        <v>6554.0918610765502</v>
      </c>
      <c r="D11" s="14">
        <f>SUM('INE trimestral sectorial'!F10:G10)</f>
        <v>6967.90709428839</v>
      </c>
      <c r="E11" s="14">
        <f>SUM('INE trimestral sectorial'!J10:K10)</f>
        <v>7386.4160740669104</v>
      </c>
      <c r="F11" s="14">
        <f>SUM('INE trimestral sectorial'!N10:O10)</f>
        <v>5664.4519399075307</v>
      </c>
      <c r="G11" s="14">
        <f>SUM('INE trimestral sectorial'!R10:S10)</f>
        <v>6000.00589939358</v>
      </c>
      <c r="H11" s="14">
        <f>SUM('INE trimestral sectorial'!V10:W10)</f>
        <v>7226.5552307807393</v>
      </c>
      <c r="I11" s="14">
        <f>SUM('INE trimestral sectorial'!Z10:AA10)</f>
        <v>7523.45668753463</v>
      </c>
      <c r="J11" s="14">
        <f>SUM('INE trimestral sectorial'!AD10:AE10)</f>
        <v>7620.2672473123203</v>
      </c>
      <c r="K11" s="14">
        <f>SUM('INE trimestral sectorial'!AH10:AI10)</f>
        <v>8108.8687370118496</v>
      </c>
      <c r="L11" s="14">
        <f t="shared" si="0"/>
        <v>7898.0381498495417</v>
      </c>
    </row>
    <row r="12" spans="1:12" ht="15" customHeight="1">
      <c r="A12" s="4" t="s">
        <v>90</v>
      </c>
      <c r="B12" s="26">
        <v>-4.2999999999999997E-2</v>
      </c>
      <c r="C12" s="14">
        <f>SUM('INE trimestral sectorial'!B11:C11)</f>
        <v>22801.101840928502</v>
      </c>
      <c r="D12" s="14">
        <f>SUM('INE trimestral sectorial'!F11:G11)</f>
        <v>24440.083794303602</v>
      </c>
      <c r="E12" s="14">
        <f>SUM('INE trimestral sectorial'!J11:K11)</f>
        <v>25053.058718885797</v>
      </c>
      <c r="F12" s="14">
        <f>SUM('INE trimestral sectorial'!N11:O11)</f>
        <v>23941.532903015403</v>
      </c>
      <c r="G12" s="14">
        <f>SUM('INE trimestral sectorial'!R11:S11)</f>
        <v>23444.974873672902</v>
      </c>
      <c r="H12" s="14">
        <f>SUM('INE trimestral sectorial'!V11:W11)</f>
        <v>25809.875992597099</v>
      </c>
      <c r="I12" s="14">
        <f>SUM('INE trimestral sectorial'!Z11:AA11)</f>
        <v>25508.167870310601</v>
      </c>
      <c r="J12" s="14">
        <f>SUM('INE trimestral sectorial'!AD11:AE11)</f>
        <v>26693.817284371398</v>
      </c>
      <c r="K12" s="14">
        <f>SUM('INE trimestral sectorial'!AH11:AI11)</f>
        <v>25177.303637490797</v>
      </c>
      <c r="L12" s="14">
        <f t="shared" si="0"/>
        <v>24094.679581078693</v>
      </c>
    </row>
    <row r="13" spans="1:12" ht="15" customHeight="1">
      <c r="A13" s="4" t="s">
        <v>68</v>
      </c>
      <c r="B13" s="26">
        <v>-7.6999999999999999E-2</v>
      </c>
      <c r="C13" s="14">
        <f>SUM('INE trimestral sectorial'!B12:C12)</f>
        <v>17723.969214654589</v>
      </c>
      <c r="D13" s="14">
        <f>SUM('INE trimestral sectorial'!F12:G12)</f>
        <v>18566.353359429289</v>
      </c>
      <c r="E13" s="14">
        <f>SUM('INE trimestral sectorial'!J12:K12)</f>
        <v>19346.316959980009</v>
      </c>
      <c r="F13" s="14">
        <f>SUM('INE trimestral sectorial'!N12:O12)</f>
        <v>15607.734742843941</v>
      </c>
      <c r="G13" s="14">
        <f>SUM('INE trimestral sectorial'!R12:S12)</f>
        <v>18431.91196275481</v>
      </c>
      <c r="H13" s="14">
        <f>SUM('INE trimestral sectorial'!V12:W12)</f>
        <v>19863.440908573211</v>
      </c>
      <c r="I13" s="14">
        <f>SUM('INE trimestral sectorial'!Z12:AA12)</f>
        <v>20281.972532521242</v>
      </c>
      <c r="J13" s="14">
        <f>SUM('INE trimestral sectorial'!AD12:AE12)</f>
        <v>20091.349135222299</v>
      </c>
      <c r="K13" s="14">
        <f>SUM('INE trimestral sectorial'!AH12:AI12)</f>
        <v>20376.472203246271</v>
      </c>
      <c r="L13" s="14">
        <f t="shared" si="0"/>
        <v>18807.48384359631</v>
      </c>
    </row>
    <row r="14" spans="1:12" ht="15" customHeight="1">
      <c r="A14" s="4" t="s">
        <v>69</v>
      </c>
      <c r="B14" s="26">
        <v>-8.5999999999999993E-2</v>
      </c>
      <c r="C14" s="14">
        <f>SUM('INE trimestral sectorial'!B13:C13)</f>
        <v>13531.849345355</v>
      </c>
      <c r="D14" s="14">
        <f>SUM('INE trimestral sectorial'!F13:G13)</f>
        <v>14018.24687116803</v>
      </c>
      <c r="E14" s="14">
        <f>SUM('INE trimestral sectorial'!J13:K13)</f>
        <v>14654.658690135981</v>
      </c>
      <c r="F14" s="14">
        <f>SUM('INE trimestral sectorial'!N13:O13)</f>
        <v>11235.456520124739</v>
      </c>
      <c r="G14" s="14">
        <f>SUM('INE trimestral sectorial'!R13:S13)</f>
        <v>13563.06605592019</v>
      </c>
      <c r="H14" s="14">
        <f>SUM('INE trimestral sectorial'!V13:W13)</f>
        <v>14558.880500746131</v>
      </c>
      <c r="I14" s="14">
        <f>SUM('INE trimestral sectorial'!Z13:AA13)</f>
        <v>15065.47820514008</v>
      </c>
      <c r="J14" s="14">
        <f>SUM('INE trimestral sectorial'!AD13:AE13)</f>
        <v>14085.615354837009</v>
      </c>
      <c r="K14" s="14">
        <f>SUM('INE trimestral sectorial'!AH13:AI13)</f>
        <v>14463.20013928874</v>
      </c>
      <c r="L14" s="14">
        <f t="shared" si="0"/>
        <v>13219.364927309909</v>
      </c>
    </row>
    <row r="15" spans="1:12" ht="15" customHeight="1">
      <c r="A15" s="4" t="s">
        <v>70</v>
      </c>
      <c r="B15" s="26">
        <v>-9.5000000000000001E-2</v>
      </c>
      <c r="C15" s="14">
        <f>SUM('INE trimestral sectorial'!B14:C14)</f>
        <v>10675.226798920499</v>
      </c>
      <c r="D15" s="14">
        <f>SUM('INE trimestral sectorial'!F14:G14)</f>
        <v>11034.696095093721</v>
      </c>
      <c r="E15" s="14">
        <f>SUM('INE trimestral sectorial'!J14:K14)</f>
        <v>11320.743274729721</v>
      </c>
      <c r="F15" s="14">
        <f>SUM('INE trimestral sectorial'!N14:O14)</f>
        <v>8505.8044099887102</v>
      </c>
      <c r="G15" s="14">
        <f>SUM('INE trimestral sectorial'!R14:S14)</f>
        <v>9961.5779619685709</v>
      </c>
      <c r="H15" s="14">
        <f>SUM('INE trimestral sectorial'!V14:W14)</f>
        <v>10714.763635120209</v>
      </c>
      <c r="I15" s="14">
        <f>SUM('INE trimestral sectorial'!Z14:AA14)</f>
        <v>10814.049446492871</v>
      </c>
      <c r="J15" s="14">
        <f>SUM('INE trimestral sectorial'!AD14:AE14)</f>
        <v>11048.98826601548</v>
      </c>
      <c r="K15" s="14">
        <f>SUM('INE trimestral sectorial'!AH14:AI14)</f>
        <v>10848.70487011407</v>
      </c>
      <c r="L15" s="14">
        <f t="shared" si="0"/>
        <v>9818.0779074532347</v>
      </c>
    </row>
    <row r="16" spans="1:12" ht="15" customHeight="1">
      <c r="A16" s="4" t="s">
        <v>71</v>
      </c>
      <c r="B16" s="26">
        <v>-0.27300000000000002</v>
      </c>
      <c r="C16" s="14">
        <f>SUM('INE trimestral sectorial'!B15:C15)</f>
        <v>10279.37606548901</v>
      </c>
      <c r="D16" s="14">
        <f>SUM('INE trimestral sectorial'!F15:G15)</f>
        <v>10638.74490566733</v>
      </c>
      <c r="E16" s="14">
        <f>SUM('INE trimestral sectorial'!J15:K15)</f>
        <v>11977.841297665091</v>
      </c>
      <c r="F16" s="14">
        <f>SUM('INE trimestral sectorial'!N15:O15)</f>
        <v>6325.6305563197602</v>
      </c>
      <c r="G16" s="14">
        <f>SUM('INE trimestral sectorial'!R15:S15)</f>
        <v>8480.2741719759997</v>
      </c>
      <c r="H16" s="14">
        <f>SUM('INE trimestral sectorial'!V15:W15)</f>
        <v>8946.0837558534895</v>
      </c>
      <c r="I16" s="14">
        <f>SUM('INE trimestral sectorial'!Z15:AA15)</f>
        <v>9140.9707056639199</v>
      </c>
      <c r="J16" s="14">
        <f>SUM('INE trimestral sectorial'!AD15:AE15)</f>
        <v>9462.0362895403814</v>
      </c>
      <c r="K16" s="14">
        <f>SUM('INE trimestral sectorial'!AH15:AI15)</f>
        <v>8320.2840451723805</v>
      </c>
      <c r="L16" s="14">
        <f t="shared" si="0"/>
        <v>6048.84650084032</v>
      </c>
    </row>
    <row r="17" spans="1:12" ht="15" customHeight="1">
      <c r="A17" s="3" t="s">
        <v>109</v>
      </c>
      <c r="C17" s="27">
        <f t="shared" ref="C17:L17" si="1">SUM(C6:C16)</f>
        <v>139355.14957277285</v>
      </c>
      <c r="D17" s="27">
        <f t="shared" si="1"/>
        <v>146043.92078598693</v>
      </c>
      <c r="E17" s="27">
        <f t="shared" si="1"/>
        <v>149259.6707796017</v>
      </c>
      <c r="F17" s="27">
        <f t="shared" si="1"/>
        <v>126657.27547715936</v>
      </c>
      <c r="G17" s="27">
        <f t="shared" si="1"/>
        <v>141434.12440263393</v>
      </c>
      <c r="H17" s="27">
        <f t="shared" si="1"/>
        <v>150199.54127621854</v>
      </c>
      <c r="I17" s="27">
        <f t="shared" si="1"/>
        <v>153103.25599123273</v>
      </c>
      <c r="J17" s="27">
        <f t="shared" si="1"/>
        <v>153166.64314250922</v>
      </c>
      <c r="K17" s="27">
        <f t="shared" si="1"/>
        <v>151188.7696713015</v>
      </c>
      <c r="L17" s="27">
        <f t="shared" si="1"/>
        <v>145579.77071578737</v>
      </c>
    </row>
    <row r="18" spans="1:12" ht="15" customHeight="1">
      <c r="A18" s="4" t="s">
        <v>110</v>
      </c>
      <c r="C18" s="14">
        <f>SUM('INE trimestral sectorial'!B16:C16)</f>
        <v>16055.580773480609</v>
      </c>
      <c r="D18" s="14">
        <f>SUM('INE trimestral sectorial'!F16:G16)</f>
        <v>16873.86879577945</v>
      </c>
      <c r="E18" s="14">
        <f>SUM('INE trimestral sectorial'!J16:K16)</f>
        <v>17523.81022965808</v>
      </c>
      <c r="F18" s="14">
        <f>SUM('INE trimestral sectorial'!N16:O16)</f>
        <v>13592.338247644559</v>
      </c>
      <c r="G18" s="14">
        <f>SUM('INE trimestral sectorial'!R16:S16)</f>
        <v>14974.815042784281</v>
      </c>
      <c r="H18" s="14">
        <f>SUM('INE trimestral sectorial'!V16:W16)</f>
        <v>16593.15041576542</v>
      </c>
      <c r="I18" s="14">
        <f>SUM('INE trimestral sectorial'!Z16:AA16)</f>
        <v>16675.864607564909</v>
      </c>
      <c r="J18" s="14">
        <f>SUM('INE trimestral sectorial'!AD16:AE16)</f>
        <v>15439.824462756151</v>
      </c>
      <c r="K18" s="14">
        <f>SUM('INE trimestral sectorial'!AH16:AI16)</f>
        <v>13372.298796882011</v>
      </c>
      <c r="L18" s="14">
        <f>L20-L17</f>
        <v>13760.372884212644</v>
      </c>
    </row>
    <row r="19" spans="1:12" ht="15" customHeight="1">
      <c r="A19" s="4" t="s">
        <v>111</v>
      </c>
      <c r="C19" s="14">
        <f>SUM('INE trimestral sectorial'!B17:C17)-C17</f>
        <v>0</v>
      </c>
      <c r="D19" s="14">
        <f>SUM('INE trimestral sectorial'!F17:G17)-D17</f>
        <v>0</v>
      </c>
      <c r="E19" s="14">
        <f>SUM('INE trimestral sectorial'!J17:K17)-E17</f>
        <v>-193.44682044538786</v>
      </c>
      <c r="F19" s="14">
        <f>SUM('INE trimestral sectorial'!N17:O17)-F17</f>
        <v>47.185551618938916</v>
      </c>
      <c r="G19" s="14">
        <f>SUM('INE trimestral sectorial'!R17:S17)-G17</f>
        <v>-104.73452044231817</v>
      </c>
      <c r="H19" s="14">
        <f>SUM('INE trimestral sectorial'!V17:W17)-H17</f>
        <v>-83.382299409538973</v>
      </c>
      <c r="I19" s="14">
        <f>SUM('INE trimestral sectorial'!Z17:AA17)-I17</f>
        <v>-194.52162929723272</v>
      </c>
      <c r="J19" s="14">
        <f>SUM('INE trimestral sectorial'!AD17:AE17)-J17</f>
        <v>-556.23258631300996</v>
      </c>
      <c r="K19" s="14">
        <f>SUM('INE trimestral sectorial'!AH17:AI17)-K17</f>
        <v>-822.22947933038813</v>
      </c>
    </row>
    <row r="20" spans="1:12" ht="15" customHeight="1">
      <c r="A20" s="3" t="s">
        <v>112</v>
      </c>
      <c r="C20" s="27">
        <f>'PIB primer semestre'!B5</f>
        <v>155411</v>
      </c>
      <c r="D20" s="27">
        <f>'PIB primer semestre'!B6</f>
        <v>162917</v>
      </c>
      <c r="E20" s="27">
        <f>'PIB primer semestre'!B7</f>
        <v>166622</v>
      </c>
      <c r="F20" s="27">
        <f>'PIB primer semestre'!B8</f>
        <v>140561</v>
      </c>
      <c r="G20" s="27">
        <f>'PIB primer semestre'!B9</f>
        <v>156650</v>
      </c>
      <c r="H20" s="27">
        <f>'PIB primer semestre'!B10</f>
        <v>166930</v>
      </c>
      <c r="I20" s="27">
        <f>'PIB primer semestre'!B11</f>
        <v>169837</v>
      </c>
      <c r="J20" s="27">
        <f>'PIB primer semestre'!B12</f>
        <v>168642</v>
      </c>
      <c r="K20" s="27">
        <f>'PIB primer semestre'!B13</f>
        <v>164846</v>
      </c>
      <c r="L20" s="27">
        <f>'PIB primer semestre'!B14</f>
        <v>159340.14360000001</v>
      </c>
    </row>
    <row r="23" spans="1:12" ht="15" customHeight="1">
      <c r="A23" s="25" t="s">
        <v>113</v>
      </c>
    </row>
    <row r="24" spans="1:12" ht="23.25" customHeight="1">
      <c r="A24" s="6" t="s">
        <v>57</v>
      </c>
      <c r="B24" s="6" t="s">
        <v>98</v>
      </c>
      <c r="C24" s="6" t="s">
        <v>99</v>
      </c>
      <c r="D24" s="6" t="s">
        <v>100</v>
      </c>
      <c r="E24" s="6" t="s">
        <v>101</v>
      </c>
      <c r="F24" s="6" t="s">
        <v>102</v>
      </c>
      <c r="G24" s="6" t="s">
        <v>103</v>
      </c>
      <c r="H24" s="6" t="s">
        <v>104</v>
      </c>
      <c r="I24" s="6" t="s">
        <v>105</v>
      </c>
      <c r="J24" s="6" t="s">
        <v>106</v>
      </c>
      <c r="K24" s="6" t="s">
        <v>107</v>
      </c>
      <c r="L24" s="6" t="s">
        <v>108</v>
      </c>
    </row>
    <row r="25" spans="1:12" ht="15" customHeight="1">
      <c r="A25" s="4" t="s">
        <v>61</v>
      </c>
      <c r="C25" s="28">
        <f t="shared" ref="C25:L25" si="2">C6/$C$6*100</f>
        <v>100</v>
      </c>
      <c r="D25" s="28">
        <f t="shared" si="2"/>
        <v>105.41791890661129</v>
      </c>
      <c r="E25" s="28">
        <f t="shared" si="2"/>
        <v>98.785496104844171</v>
      </c>
      <c r="F25" s="28">
        <f t="shared" si="2"/>
        <v>77.512994358429481</v>
      </c>
      <c r="G25" s="28">
        <f t="shared" si="2"/>
        <v>101.38581038189155</v>
      </c>
      <c r="H25" s="28">
        <f t="shared" si="2"/>
        <v>108.27123873180378</v>
      </c>
      <c r="I25" s="28">
        <f t="shared" si="2"/>
        <v>104.96493216399074</v>
      </c>
      <c r="J25" s="28">
        <f t="shared" si="2"/>
        <v>93.914230393975316</v>
      </c>
      <c r="K25" s="28">
        <f t="shared" si="2"/>
        <v>84.330998519094535</v>
      </c>
      <c r="L25" s="28">
        <f t="shared" si="2"/>
        <v>92.679767372484889</v>
      </c>
    </row>
    <row r="26" spans="1:12" ht="15" customHeight="1">
      <c r="A26" s="4" t="s">
        <v>62</v>
      </c>
      <c r="C26" s="28">
        <f t="shared" ref="C26:L26" si="3">C7/$C$7*100</f>
        <v>100</v>
      </c>
      <c r="D26" s="28">
        <f t="shared" si="3"/>
        <v>104.96631802155487</v>
      </c>
      <c r="E26" s="28">
        <f t="shared" si="3"/>
        <v>106.35019134466526</v>
      </c>
      <c r="F26" s="28">
        <f t="shared" si="3"/>
        <v>108.00053837173935</v>
      </c>
      <c r="G26" s="28">
        <f t="shared" si="3"/>
        <v>116.27690506742989</v>
      </c>
      <c r="H26" s="28">
        <f t="shared" si="3"/>
        <v>119.24315808106478</v>
      </c>
      <c r="I26" s="28">
        <f t="shared" si="3"/>
        <v>121.35251348607632</v>
      </c>
      <c r="J26" s="28">
        <f t="shared" si="3"/>
        <v>122.80158366940286</v>
      </c>
      <c r="K26" s="28">
        <f t="shared" si="3"/>
        <v>126.27422333985648</v>
      </c>
      <c r="L26" s="28">
        <f t="shared" si="3"/>
        <v>130.31499848673187</v>
      </c>
    </row>
    <row r="27" spans="1:12" ht="15" customHeight="1">
      <c r="A27" s="4" t="s">
        <v>86</v>
      </c>
      <c r="C27" s="28">
        <f t="shared" ref="C27:L27" si="4">C8/$C$8*100</f>
        <v>100</v>
      </c>
      <c r="D27" s="28">
        <f t="shared" si="4"/>
        <v>104.34737963850904</v>
      </c>
      <c r="E27" s="28">
        <f t="shared" si="4"/>
        <v>114.55920106885453</v>
      </c>
      <c r="F27" s="28">
        <f t="shared" si="4"/>
        <v>106.55990915928429</v>
      </c>
      <c r="G27" s="28">
        <f t="shared" si="4"/>
        <v>116.38659928549065</v>
      </c>
      <c r="H27" s="28">
        <f t="shared" si="4"/>
        <v>124.22064140854449</v>
      </c>
      <c r="I27" s="28">
        <f t="shared" si="4"/>
        <v>127.8100838792285</v>
      </c>
      <c r="J27" s="28">
        <f t="shared" si="4"/>
        <v>134.14293036220315</v>
      </c>
      <c r="K27" s="28">
        <f t="shared" si="4"/>
        <v>132.60854142850314</v>
      </c>
      <c r="L27" s="28">
        <f t="shared" si="4"/>
        <v>135.26071225707321</v>
      </c>
    </row>
    <row r="28" spans="1:12" ht="15" customHeight="1">
      <c r="A28" s="4" t="s">
        <v>87</v>
      </c>
      <c r="C28" s="28">
        <f t="shared" ref="C28:L28" si="5">C9/$C$9*100</f>
        <v>100</v>
      </c>
      <c r="D28" s="28">
        <f t="shared" si="5"/>
        <v>102.43983304937466</v>
      </c>
      <c r="E28" s="28">
        <f t="shared" si="5"/>
        <v>102.10041146997109</v>
      </c>
      <c r="F28" s="28">
        <f t="shared" si="5"/>
        <v>100.75844545181394</v>
      </c>
      <c r="G28" s="28">
        <f t="shared" si="5"/>
        <v>103.81013621548378</v>
      </c>
      <c r="H28" s="28">
        <f t="shared" si="5"/>
        <v>104.28963848039876</v>
      </c>
      <c r="I28" s="28">
        <f t="shared" si="5"/>
        <v>110.41064994315963</v>
      </c>
      <c r="J28" s="28">
        <f t="shared" si="5"/>
        <v>113.9125695725949</v>
      </c>
      <c r="K28" s="28">
        <f t="shared" si="5"/>
        <v>115.99735953440018</v>
      </c>
      <c r="L28" s="28">
        <f t="shared" si="5"/>
        <v>116.34535161300337</v>
      </c>
    </row>
    <row r="29" spans="1:12" ht="15" customHeight="1">
      <c r="A29" s="4" t="s">
        <v>88</v>
      </c>
      <c r="C29" s="28">
        <f t="shared" ref="C29:L29" si="6">C10/$C$10*100</f>
        <v>100</v>
      </c>
      <c r="D29" s="28">
        <f t="shared" si="6"/>
        <v>107.74670142044964</v>
      </c>
      <c r="E29" s="28">
        <f t="shared" si="6"/>
        <v>103.93527363371606</v>
      </c>
      <c r="F29" s="28">
        <f t="shared" si="6"/>
        <v>92.453169585718953</v>
      </c>
      <c r="G29" s="28">
        <f t="shared" si="6"/>
        <v>102.79280127469275</v>
      </c>
      <c r="H29" s="28">
        <f t="shared" si="6"/>
        <v>100.18968117975126</v>
      </c>
      <c r="I29" s="28">
        <f t="shared" si="6"/>
        <v>108.34021127193358</v>
      </c>
      <c r="J29" s="28">
        <f t="shared" si="6"/>
        <v>107.52650745925946</v>
      </c>
      <c r="K29" s="28">
        <f t="shared" si="6"/>
        <v>111.71761108164466</v>
      </c>
      <c r="L29" s="28">
        <f t="shared" si="6"/>
        <v>110.15356452650163</v>
      </c>
    </row>
    <row r="30" spans="1:12" ht="15" customHeight="1">
      <c r="A30" s="4" t="s">
        <v>89</v>
      </c>
      <c r="C30" s="28">
        <f t="shared" ref="C30:L30" si="7">C11/$C$11*100</f>
        <v>100</v>
      </c>
      <c r="D30" s="28">
        <f t="shared" si="7"/>
        <v>106.31384548741842</v>
      </c>
      <c r="E30" s="28">
        <f t="shared" si="7"/>
        <v>112.69930648871996</v>
      </c>
      <c r="F30" s="28">
        <f t="shared" si="7"/>
        <v>86.426190843426923</v>
      </c>
      <c r="G30" s="28">
        <f t="shared" si="7"/>
        <v>91.545953681644647</v>
      </c>
      <c r="H30" s="28">
        <f t="shared" si="7"/>
        <v>110.26020666109085</v>
      </c>
      <c r="I30" s="28">
        <f t="shared" si="7"/>
        <v>114.79022337503299</v>
      </c>
      <c r="J30" s="28">
        <f t="shared" si="7"/>
        <v>116.26732442625001</v>
      </c>
      <c r="K30" s="28">
        <f t="shared" si="7"/>
        <v>123.722231987147</v>
      </c>
      <c r="L30" s="28">
        <f t="shared" si="7"/>
        <v>120.50545395548117</v>
      </c>
    </row>
    <row r="31" spans="1:12" ht="15" customHeight="1">
      <c r="A31" s="4" t="s">
        <v>90</v>
      </c>
      <c r="C31" s="28">
        <f t="shared" ref="C31:L31" si="8">C12/$C$12*100</f>
        <v>100</v>
      </c>
      <c r="D31" s="28">
        <f t="shared" si="8"/>
        <v>107.18816996130025</v>
      </c>
      <c r="E31" s="28">
        <f t="shared" si="8"/>
        <v>109.87652655414652</v>
      </c>
      <c r="F31" s="28">
        <f t="shared" si="8"/>
        <v>105.0016489117197</v>
      </c>
      <c r="G31" s="28">
        <f t="shared" si="8"/>
        <v>102.82386806232597</v>
      </c>
      <c r="H31" s="28">
        <f t="shared" si="8"/>
        <v>113.19574015615234</v>
      </c>
      <c r="I31" s="28">
        <f t="shared" si="8"/>
        <v>111.87252286432428</v>
      </c>
      <c r="J31" s="28">
        <f t="shared" si="8"/>
        <v>117.07248829727772</v>
      </c>
      <c r="K31" s="28">
        <f t="shared" si="8"/>
        <v>110.42143407428213</v>
      </c>
      <c r="L31" s="28">
        <f t="shared" si="8"/>
        <v>105.67331240908801</v>
      </c>
    </row>
    <row r="32" spans="1:12" ht="15" customHeight="1">
      <c r="A32" s="4" t="s">
        <v>68</v>
      </c>
      <c r="C32" s="28">
        <f t="shared" ref="C32:L32" si="9">C13/$C$13*100</f>
        <v>100</v>
      </c>
      <c r="D32" s="28">
        <f t="shared" si="9"/>
        <v>104.75279625332567</v>
      </c>
      <c r="E32" s="28">
        <f t="shared" si="9"/>
        <v>109.15341098642861</v>
      </c>
      <c r="F32" s="28">
        <f t="shared" si="9"/>
        <v>88.060042047122849</v>
      </c>
      <c r="G32" s="28">
        <f t="shared" si="9"/>
        <v>103.99426753413043</v>
      </c>
      <c r="H32" s="28">
        <f t="shared" si="9"/>
        <v>112.07106415051578</v>
      </c>
      <c r="I32" s="28">
        <f t="shared" si="9"/>
        <v>114.43245182208754</v>
      </c>
      <c r="J32" s="28">
        <f t="shared" si="9"/>
        <v>113.35693992635862</v>
      </c>
      <c r="K32" s="28">
        <f t="shared" si="9"/>
        <v>114.96562624583284</v>
      </c>
      <c r="L32" s="28">
        <f t="shared" si="9"/>
        <v>106.11327302490372</v>
      </c>
    </row>
    <row r="33" spans="1:12" ht="15" customHeight="1">
      <c r="A33" s="4" t="s">
        <v>69</v>
      </c>
      <c r="C33" s="28">
        <f t="shared" ref="C33:L33" si="10">C14/$C$14*100</f>
        <v>100</v>
      </c>
      <c r="D33" s="28">
        <f t="shared" si="10"/>
        <v>103.59446453621651</v>
      </c>
      <c r="E33" s="28">
        <f t="shared" si="10"/>
        <v>108.29753063402528</v>
      </c>
      <c r="F33" s="28">
        <f t="shared" si="10"/>
        <v>83.029719245148627</v>
      </c>
      <c r="G33" s="28">
        <f t="shared" si="10"/>
        <v>100.23069064522142</v>
      </c>
      <c r="H33" s="28">
        <f t="shared" si="10"/>
        <v>107.58973240966266</v>
      </c>
      <c r="I33" s="28">
        <f t="shared" si="10"/>
        <v>111.33347571824335</v>
      </c>
      <c r="J33" s="28">
        <f t="shared" si="10"/>
        <v>104.09231580509797</v>
      </c>
      <c r="K33" s="28">
        <f t="shared" si="10"/>
        <v>106.8826571310701</v>
      </c>
      <c r="L33" s="28">
        <f t="shared" si="10"/>
        <v>97.690748617798079</v>
      </c>
    </row>
    <row r="34" spans="1:12" ht="15" customHeight="1">
      <c r="A34" s="4" t="s">
        <v>70</v>
      </c>
      <c r="C34" s="28">
        <f t="shared" ref="C34:L34" si="11">C15/$C$15*100</f>
        <v>100</v>
      </c>
      <c r="D34" s="28">
        <f t="shared" si="11"/>
        <v>103.3673223337004</v>
      </c>
      <c r="E34" s="28">
        <f t="shared" si="11"/>
        <v>106.04686427715519</v>
      </c>
      <c r="F34" s="28">
        <f t="shared" si="11"/>
        <v>79.677973781773275</v>
      </c>
      <c r="G34" s="28">
        <f t="shared" si="11"/>
        <v>93.314907023576367</v>
      </c>
      <c r="H34" s="28">
        <f t="shared" si="11"/>
        <v>100.3703606203824</v>
      </c>
      <c r="I34" s="28">
        <f t="shared" si="11"/>
        <v>101.30041871884548</v>
      </c>
      <c r="J34" s="28">
        <f t="shared" si="11"/>
        <v>103.50120399439922</v>
      </c>
      <c r="K34" s="28">
        <f t="shared" si="11"/>
        <v>101.62505279242511</v>
      </c>
      <c r="L34" s="28">
        <f t="shared" si="11"/>
        <v>91.970672777144742</v>
      </c>
    </row>
    <row r="35" spans="1:12" ht="15" customHeight="1">
      <c r="A35" s="4" t="s">
        <v>71</v>
      </c>
      <c r="C35" s="28">
        <f t="shared" ref="C35:L35" si="12">C16/$C$16*100</f>
        <v>100</v>
      </c>
      <c r="D35" s="28">
        <f t="shared" si="12"/>
        <v>103.4960180256935</v>
      </c>
      <c r="E35" s="28">
        <f t="shared" si="12"/>
        <v>116.52303818203855</v>
      </c>
      <c r="F35" s="28">
        <f t="shared" si="12"/>
        <v>61.537106104686892</v>
      </c>
      <c r="G35" s="28">
        <f t="shared" si="12"/>
        <v>82.497946548009438</v>
      </c>
      <c r="H35" s="28">
        <f t="shared" si="12"/>
        <v>87.029443215801891</v>
      </c>
      <c r="I35" s="28">
        <f t="shared" si="12"/>
        <v>88.925345735262439</v>
      </c>
      <c r="J35" s="28">
        <f t="shared" si="12"/>
        <v>92.048741375532643</v>
      </c>
      <c r="K35" s="28">
        <f t="shared" si="12"/>
        <v>80.94152789200993</v>
      </c>
      <c r="L35" s="28">
        <f t="shared" si="12"/>
        <v>58.844490777491224</v>
      </c>
    </row>
    <row r="36" spans="1:12" ht="15" customHeight="1">
      <c r="A36" s="3" t="s">
        <v>114</v>
      </c>
      <c r="C36" s="29">
        <f t="shared" ref="C36:L36" si="13">C20/$C$20*100</f>
        <v>100</v>
      </c>
      <c r="D36" s="29">
        <f t="shared" si="13"/>
        <v>104.82977395422462</v>
      </c>
      <c r="E36" s="29">
        <f t="shared" si="13"/>
        <v>107.21377508670558</v>
      </c>
      <c r="F36" s="29">
        <f t="shared" si="13"/>
        <v>90.444691817181535</v>
      </c>
      <c r="G36" s="29">
        <f t="shared" si="13"/>
        <v>100.79724086454627</v>
      </c>
      <c r="H36" s="29">
        <f t="shared" si="13"/>
        <v>107.41195925642329</v>
      </c>
      <c r="I36" s="29">
        <f t="shared" si="13"/>
        <v>109.28248322190836</v>
      </c>
      <c r="J36" s="29">
        <f t="shared" si="13"/>
        <v>108.51355438160748</v>
      </c>
      <c r="K36" s="29">
        <f t="shared" si="13"/>
        <v>106.07099883534627</v>
      </c>
      <c r="L36" s="29">
        <f t="shared" si="13"/>
        <v>102.52822747424572</v>
      </c>
    </row>
    <row r="39" spans="1:12" ht="15" customHeight="1">
      <c r="A39" s="25" t="s">
        <v>115</v>
      </c>
    </row>
    <row r="40" spans="1:12" ht="23.25" customHeight="1">
      <c r="A40" s="6" t="s">
        <v>57</v>
      </c>
      <c r="B40" s="6" t="s">
        <v>116</v>
      </c>
      <c r="C40" s="6" t="s">
        <v>117</v>
      </c>
      <c r="D40" s="6" t="s">
        <v>118</v>
      </c>
    </row>
    <row r="41" spans="1:12" ht="15" customHeight="1">
      <c r="A41" s="4" t="s">
        <v>61</v>
      </c>
      <c r="B41" s="14">
        <f t="shared" ref="B41:B51" si="14">L6-K6</f>
        <v>1224.9207089016363</v>
      </c>
      <c r="C41" s="30">
        <f t="shared" ref="C41:C51" si="15">K6/$K$20</f>
        <v>7.5057547368767769E-2</v>
      </c>
      <c r="D41" s="17">
        <f t="shared" ref="D41:D51" si="16">B41/$K$20*100</f>
        <v>0.74306971895080032</v>
      </c>
    </row>
    <row r="42" spans="1:12" ht="15" customHeight="1">
      <c r="A42" s="4" t="s">
        <v>62</v>
      </c>
      <c r="B42" s="14">
        <f t="shared" si="14"/>
        <v>541.40687754335158</v>
      </c>
      <c r="C42" s="30">
        <f t="shared" si="15"/>
        <v>0.10263497399530325</v>
      </c>
      <c r="D42" s="17">
        <f t="shared" si="16"/>
        <v>0.32843191678496997</v>
      </c>
    </row>
    <row r="43" spans="1:12" ht="15" customHeight="1">
      <c r="A43" s="4" t="s">
        <v>86</v>
      </c>
      <c r="B43" s="14">
        <f t="shared" si="14"/>
        <v>66.290115875337051</v>
      </c>
      <c r="C43" s="30">
        <f t="shared" si="15"/>
        <v>2.0106680136411193E-2</v>
      </c>
      <c r="D43" s="17">
        <f t="shared" si="16"/>
        <v>4.0213360272822546E-2</v>
      </c>
    </row>
    <row r="44" spans="1:12" ht="15" customHeight="1">
      <c r="A44" s="4" t="s">
        <v>87</v>
      </c>
      <c r="B44" s="14">
        <f t="shared" si="14"/>
        <v>71.426729738759605</v>
      </c>
      <c r="C44" s="30">
        <f t="shared" si="15"/>
        <v>0.14443122619245416</v>
      </c>
      <c r="D44" s="17">
        <f t="shared" si="16"/>
        <v>4.3329367857733642E-2</v>
      </c>
    </row>
    <row r="45" spans="1:12" ht="15" customHeight="1">
      <c r="A45" s="4" t="s">
        <v>88</v>
      </c>
      <c r="B45" s="14">
        <f t="shared" si="14"/>
        <v>-104.70066537710682</v>
      </c>
      <c r="C45" s="30">
        <f t="shared" si="15"/>
        <v>4.5367306185819439E-2</v>
      </c>
      <c r="D45" s="17">
        <f t="shared" si="16"/>
        <v>-6.351422866014754E-2</v>
      </c>
    </row>
    <row r="46" spans="1:12" ht="15" customHeight="1">
      <c r="A46" s="4" t="s">
        <v>89</v>
      </c>
      <c r="B46" s="14">
        <f t="shared" si="14"/>
        <v>-210.83058716230789</v>
      </c>
      <c r="C46" s="30">
        <f t="shared" si="15"/>
        <v>4.9190570211056682E-2</v>
      </c>
      <c r="D46" s="17">
        <f t="shared" si="16"/>
        <v>-0.12789548254874725</v>
      </c>
    </row>
    <row r="47" spans="1:12" ht="15" customHeight="1">
      <c r="A47" s="4" t="s">
        <v>90</v>
      </c>
      <c r="B47" s="14">
        <f t="shared" si="14"/>
        <v>-1082.6240564121035</v>
      </c>
      <c r="C47" s="30">
        <f t="shared" si="15"/>
        <v>0.15273226913295315</v>
      </c>
      <c r="D47" s="17">
        <f t="shared" si="16"/>
        <v>-0.65674875727169812</v>
      </c>
    </row>
    <row r="48" spans="1:12" ht="15" customHeight="1">
      <c r="A48" s="4" t="s">
        <v>68</v>
      </c>
      <c r="B48" s="14">
        <f t="shared" si="14"/>
        <v>-1568.9883596499603</v>
      </c>
      <c r="C48" s="30">
        <f t="shared" si="15"/>
        <v>0.12360913945892694</v>
      </c>
      <c r="D48" s="17">
        <f t="shared" si="16"/>
        <v>-0.95179037383373599</v>
      </c>
    </row>
    <row r="49" spans="1:12" ht="15" customHeight="1">
      <c r="A49" s="4" t="s">
        <v>69</v>
      </c>
      <c r="B49" s="14">
        <f t="shared" si="14"/>
        <v>-1243.8352119788306</v>
      </c>
      <c r="C49" s="30">
        <f t="shared" si="15"/>
        <v>8.7737646890362758E-2</v>
      </c>
      <c r="D49" s="17">
        <f t="shared" si="16"/>
        <v>-0.75454376325711914</v>
      </c>
    </row>
    <row r="50" spans="1:12" ht="15" customHeight="1">
      <c r="A50" s="4" t="s">
        <v>70</v>
      </c>
      <c r="B50" s="14">
        <f t="shared" si="14"/>
        <v>-1030.6269626608355</v>
      </c>
      <c r="C50" s="30">
        <f t="shared" si="15"/>
        <v>6.5811150225750514E-2</v>
      </c>
      <c r="D50" s="17">
        <f t="shared" si="16"/>
        <v>-0.62520592714462919</v>
      </c>
    </row>
    <row r="51" spans="1:12" ht="15" customHeight="1">
      <c r="A51" s="4" t="s">
        <v>71</v>
      </c>
      <c r="B51" s="14">
        <f t="shared" si="14"/>
        <v>-2271.4375443320605</v>
      </c>
      <c r="C51" s="30">
        <f t="shared" si="15"/>
        <v>5.0473072110772357E-2</v>
      </c>
      <c r="D51" s="17">
        <f t="shared" si="16"/>
        <v>-1.3779148686240856</v>
      </c>
    </row>
    <row r="52" spans="1:12" ht="15" customHeight="1">
      <c r="A52" s="3" t="s">
        <v>119</v>
      </c>
      <c r="C52" s="18">
        <f>SUM(C41:C51)</f>
        <v>0.91715158190857815</v>
      </c>
      <c r="D52" s="19">
        <f>SUM(D41:D51)</f>
        <v>-3.4025690374738367</v>
      </c>
    </row>
    <row r="53" spans="1:12" ht="15" customHeight="1">
      <c r="A53" s="3" t="s">
        <v>120</v>
      </c>
      <c r="D53" s="19">
        <f>(L20/K20-1)*100</f>
        <v>-3.3399999999999985</v>
      </c>
    </row>
    <row r="54" spans="1:12" ht="15" customHeight="1">
      <c r="A54" s="4" t="s">
        <v>121</v>
      </c>
      <c r="D54" s="17">
        <f>D52-D53</f>
        <v>-6.2569037473838129E-2</v>
      </c>
    </row>
    <row r="56" spans="1:12" ht="15" customHeight="1">
      <c r="A56" s="2" t="s">
        <v>122</v>
      </c>
    </row>
    <row r="57" spans="1:12" ht="15" customHeight="1">
      <c r="A57" s="2" t="s">
        <v>123</v>
      </c>
    </row>
    <row r="58" spans="1:12" ht="15" customHeight="1">
      <c r="A58" s="2" t="s">
        <v>124</v>
      </c>
    </row>
    <row r="59" spans="1:12" ht="15" customHeight="1">
      <c r="A59" s="2" t="s">
        <v>125</v>
      </c>
    </row>
    <row r="62" spans="1:12" ht="15" customHeight="1">
      <c r="A62" s="25" t="s">
        <v>126</v>
      </c>
    </row>
    <row r="63" spans="1:12" ht="15" customHeight="1">
      <c r="A63" s="6" t="s">
        <v>57</v>
      </c>
      <c r="B63" s="6"/>
      <c r="C63" s="6" t="s">
        <v>99</v>
      </c>
      <c r="D63" s="6" t="s">
        <v>100</v>
      </c>
      <c r="E63" s="6" t="s">
        <v>101</v>
      </c>
      <c r="F63" s="6" t="s">
        <v>102</v>
      </c>
      <c r="G63" s="6" t="s">
        <v>103</v>
      </c>
      <c r="H63" s="6" t="s">
        <v>104</v>
      </c>
      <c r="I63" s="6" t="s">
        <v>105</v>
      </c>
      <c r="J63" s="6" t="s">
        <v>106</v>
      </c>
      <c r="K63" s="6" t="s">
        <v>107</v>
      </c>
      <c r="L63" s="6" t="s">
        <v>108</v>
      </c>
    </row>
    <row r="64" spans="1:12" ht="15" customHeight="1">
      <c r="A64" s="4" t="str">
        <f t="shared" ref="A64:A74" si="17">A6</f>
        <v>Actividad extractiva</v>
      </c>
      <c r="C64" s="28">
        <f t="shared" ref="C64:L64" si="18">C6/$E$6*100</f>
        <v>101.22943543641958</v>
      </c>
      <c r="D64" s="28">
        <f t="shared" si="18"/>
        <v>106.71396415798522</v>
      </c>
      <c r="E64" s="28">
        <f t="shared" si="18"/>
        <v>100</v>
      </c>
      <c r="F64" s="28">
        <f t="shared" si="18"/>
        <v>78.465966578901913</v>
      </c>
      <c r="G64" s="28">
        <f t="shared" si="18"/>
        <v>102.63228346222766</v>
      </c>
      <c r="H64" s="28">
        <f t="shared" si="18"/>
        <v>109.60236370822301</v>
      </c>
      <c r="I64" s="28">
        <f t="shared" si="18"/>
        <v>106.2554082358286</v>
      </c>
      <c r="J64" s="28">
        <f t="shared" si="18"/>
        <v>95.068845222279563</v>
      </c>
      <c r="K64" s="28">
        <f t="shared" si="18"/>
        <v>85.367793698774747</v>
      </c>
      <c r="L64" s="28">
        <f t="shared" si="18"/>
        <v>93.819205274953447</v>
      </c>
    </row>
    <row r="65" spans="1:12" ht="15" customHeight="1">
      <c r="A65" s="4" t="str">
        <f t="shared" si="17"/>
        <v>Agricultura, ganadería, silvicultura y pesca</v>
      </c>
      <c r="C65" s="28">
        <f t="shared" ref="C65:L65" si="19">C7/$E$7*100</f>
        <v>94.028979859485901</v>
      </c>
      <c r="D65" s="28">
        <f t="shared" si="19"/>
        <v>98.698758031731742</v>
      </c>
      <c r="E65" s="28">
        <f t="shared" si="19"/>
        <v>100</v>
      </c>
      <c r="F65" s="28">
        <f t="shared" si="19"/>
        <v>101.55180447369912</v>
      </c>
      <c r="G65" s="28">
        <f t="shared" si="19"/>
        <v>109.3339876470872</v>
      </c>
      <c r="H65" s="28">
        <f t="shared" si="19"/>
        <v>112.12312509585931</v>
      </c>
      <c r="I65" s="28">
        <f t="shared" si="19"/>
        <v>114.10653046480262</v>
      </c>
      <c r="J65" s="28">
        <f t="shared" si="19"/>
        <v>115.46907637563253</v>
      </c>
      <c r="K65" s="28">
        <f t="shared" si="19"/>
        <v>118.73436403195588</v>
      </c>
      <c r="L65" s="28">
        <f t="shared" si="19"/>
        <v>122.53386368097847</v>
      </c>
    </row>
    <row r="66" spans="1:12" ht="15" customHeight="1">
      <c r="A66" s="4" t="str">
        <f t="shared" si="17"/>
        <v>Electricidad, agua y recolección de desechos</v>
      </c>
      <c r="C66" s="28">
        <f t="shared" ref="C66:L66" si="20">C8/$E$8*100</f>
        <v>87.291111553663953</v>
      </c>
      <c r="D66" s="28">
        <f t="shared" si="20"/>
        <v>91.08598756357614</v>
      </c>
      <c r="E66" s="28">
        <f t="shared" si="20"/>
        <v>100</v>
      </c>
      <c r="F66" s="28">
        <f t="shared" si="20"/>
        <v>93.017329175713797</v>
      </c>
      <c r="G66" s="28">
        <f t="shared" si="20"/>
        <v>101.5951562158135</v>
      </c>
      <c r="H66" s="28">
        <f t="shared" si="20"/>
        <v>108.43357866460946</v>
      </c>
      <c r="I66" s="28">
        <f t="shared" si="20"/>
        <v>111.56684289584882</v>
      </c>
      <c r="J66" s="28">
        <f t="shared" si="20"/>
        <v>117.0948549838245</v>
      </c>
      <c r="K66" s="28">
        <f t="shared" si="20"/>
        <v>115.75546982804134</v>
      </c>
      <c r="L66" s="28">
        <f t="shared" si="20"/>
        <v>118.07057922460218</v>
      </c>
    </row>
    <row r="67" spans="1:12" ht="15" customHeight="1">
      <c r="A67" s="4" t="str">
        <f t="shared" si="17"/>
        <v>Administración pública, salud y educación</v>
      </c>
      <c r="C67" s="28">
        <f t="shared" ref="C67:L67" si="21">C9/$E$9*100</f>
        <v>97.942798231925991</v>
      </c>
      <c r="D67" s="28">
        <f t="shared" si="21"/>
        <v>100.33243899267083</v>
      </c>
      <c r="E67" s="28">
        <f t="shared" si="21"/>
        <v>100</v>
      </c>
      <c r="F67" s="28">
        <f t="shared" si="21"/>
        <v>98.685640930495339</v>
      </c>
      <c r="G67" s="28">
        <f t="shared" si="21"/>
        <v>101.6745522578188</v>
      </c>
      <c r="H67" s="28">
        <f t="shared" si="21"/>
        <v>102.14419019366201</v>
      </c>
      <c r="I67" s="28">
        <f t="shared" si="21"/>
        <v>108.13928010038694</v>
      </c>
      <c r="J67" s="28">
        <f t="shared" si="21"/>
        <v>111.56915817728894</v>
      </c>
      <c r="K67" s="28">
        <f t="shared" si="21"/>
        <v>113.61105980313934</v>
      </c>
      <c r="L67" s="28">
        <f t="shared" si="21"/>
        <v>113.95189298254873</v>
      </c>
    </row>
    <row r="68" spans="1:12" ht="15" customHeight="1">
      <c r="A68" s="4" t="str">
        <f t="shared" si="17"/>
        <v>Actividades comunales, sociales y personales</v>
      </c>
      <c r="C68" s="28">
        <f t="shared" ref="C68:L68" si="22">C10/$E$10*100</f>
        <v>96.213726585658904</v>
      </c>
      <c r="D68" s="28">
        <f t="shared" si="22"/>
        <v>103.66711670973767</v>
      </c>
      <c r="E68" s="28">
        <f t="shared" si="22"/>
        <v>100</v>
      </c>
      <c r="F68" s="28">
        <f t="shared" si="22"/>
        <v>88.952639804979185</v>
      </c>
      <c r="G68" s="28">
        <f t="shared" si="22"/>
        <v>98.900784768172585</v>
      </c>
      <c r="H68" s="28">
        <f t="shared" si="22"/>
        <v>96.396225917329232</v>
      </c>
      <c r="I68" s="28">
        <f t="shared" si="22"/>
        <v>104.23815465550339</v>
      </c>
      <c r="J68" s="28">
        <f t="shared" si="22"/>
        <v>103.45525989396003</v>
      </c>
      <c r="K68" s="28">
        <f t="shared" si="22"/>
        <v>107.48767687412337</v>
      </c>
      <c r="L68" s="28">
        <f t="shared" si="22"/>
        <v>105.98284939788563</v>
      </c>
    </row>
    <row r="69" spans="1:12" ht="15" customHeight="1">
      <c r="A69" s="4" t="str">
        <f t="shared" si="17"/>
        <v>Alojamiento y servicio de comidas y bebidas</v>
      </c>
      <c r="C69" s="28">
        <f t="shared" ref="C69:L69" si="23">C11/$E$11*100</f>
        <v>88.731690651538287</v>
      </c>
      <c r="D69" s="28">
        <f t="shared" si="23"/>
        <v>94.33407249765051</v>
      </c>
      <c r="E69" s="28">
        <f t="shared" si="23"/>
        <v>100</v>
      </c>
      <c r="F69" s="28">
        <f t="shared" si="23"/>
        <v>76.687420301097688</v>
      </c>
      <c r="G69" s="28">
        <f t="shared" si="23"/>
        <v>81.230272424797462</v>
      </c>
      <c r="H69" s="28">
        <f t="shared" si="23"/>
        <v>97.835745486265949</v>
      </c>
      <c r="I69" s="28">
        <f t="shared" si="23"/>
        <v>101.85530590334409</v>
      </c>
      <c r="J69" s="28">
        <f t="shared" si="23"/>
        <v>103.16596263872057</v>
      </c>
      <c r="K69" s="28">
        <f t="shared" si="23"/>
        <v>109.78082815401382</v>
      </c>
      <c r="L69" s="28">
        <f t="shared" si="23"/>
        <v>106.92652662200948</v>
      </c>
    </row>
    <row r="70" spans="1:12" ht="15" customHeight="1">
      <c r="A70" s="4" t="str">
        <f t="shared" si="17"/>
        <v>Financieras, seguros, inmobiliarias y prof.</v>
      </c>
      <c r="C70" s="28">
        <f t="shared" ref="C70:L70" si="24">C12/$E$12*100</f>
        <v>91.011249751074516</v>
      </c>
      <c r="D70" s="28">
        <f t="shared" si="24"/>
        <v>97.553293067085207</v>
      </c>
      <c r="E70" s="28">
        <f t="shared" si="24"/>
        <v>100</v>
      </c>
      <c r="F70" s="28">
        <f t="shared" si="24"/>
        <v>95.563312933791636</v>
      </c>
      <c r="G70" s="28">
        <f t="shared" si="24"/>
        <v>93.581287365918826</v>
      </c>
      <c r="H70" s="28">
        <f t="shared" si="24"/>
        <v>103.02085778109318</v>
      </c>
      <c r="I70" s="28">
        <f t="shared" si="24"/>
        <v>101.81658118687811</v>
      </c>
      <c r="J70" s="28">
        <f t="shared" si="24"/>
        <v>106.54913471403292</v>
      </c>
      <c r="K70" s="28">
        <f t="shared" si="24"/>
        <v>100.49592714406302</v>
      </c>
      <c r="L70" s="28">
        <f t="shared" si="24"/>
        <v>96.174602276868299</v>
      </c>
    </row>
    <row r="71" spans="1:12" ht="15" customHeight="1">
      <c r="A71" s="4" t="str">
        <f t="shared" si="17"/>
        <v>Industrias manufactureras</v>
      </c>
      <c r="C71" s="28">
        <f t="shared" ref="C71:L71" si="25">C13/$E$13*100</f>
        <v>91.614177785459503</v>
      </c>
      <c r="D71" s="28">
        <f t="shared" si="25"/>
        <v>95.968412994761948</v>
      </c>
      <c r="E71" s="28">
        <f t="shared" si="25"/>
        <v>100</v>
      </c>
      <c r="F71" s="28">
        <f t="shared" si="25"/>
        <v>80.675483479001514</v>
      </c>
      <c r="G71" s="28">
        <f t="shared" si="25"/>
        <v>95.273493145404643</v>
      </c>
      <c r="H71" s="28">
        <f t="shared" si="25"/>
        <v>102.67298395690989</v>
      </c>
      <c r="I71" s="28">
        <f t="shared" si="25"/>
        <v>104.83634985654757</v>
      </c>
      <c r="J71" s="28">
        <f t="shared" si="25"/>
        <v>103.85102847629071</v>
      </c>
      <c r="K71" s="28">
        <f t="shared" si="25"/>
        <v>105.32481322102419</v>
      </c>
      <c r="L71" s="28">
        <f t="shared" si="25"/>
        <v>97.214802603005353</v>
      </c>
    </row>
    <row r="72" spans="1:12" ht="15" customHeight="1">
      <c r="A72" s="4" t="str">
        <f t="shared" si="17"/>
        <v>Comercio</v>
      </c>
      <c r="C72" s="28">
        <f t="shared" ref="C72:L72" si="26">C14/$E$14*100</f>
        <v>92.338208835005204</v>
      </c>
      <c r="D72" s="28">
        <f t="shared" si="26"/>
        <v>95.657273004957005</v>
      </c>
      <c r="E72" s="28">
        <f t="shared" si="26"/>
        <v>100</v>
      </c>
      <c r="F72" s="28">
        <f t="shared" si="26"/>
        <v>76.668155551703848</v>
      </c>
      <c r="G72" s="28">
        <f t="shared" si="26"/>
        <v>92.551224444752577</v>
      </c>
      <c r="H72" s="28">
        <f t="shared" si="26"/>
        <v>99.346431797457569</v>
      </c>
      <c r="I72" s="28">
        <f t="shared" si="26"/>
        <v>102.80333731198135</v>
      </c>
      <c r="J72" s="28">
        <f t="shared" si="26"/>
        <v>96.116979949304493</v>
      </c>
      <c r="K72" s="28">
        <f t="shared" si="26"/>
        <v>98.693531150090095</v>
      </c>
      <c r="L72" s="28">
        <f t="shared" si="26"/>
        <v>90.205887471182351</v>
      </c>
    </row>
    <row r="73" spans="1:12" ht="15" customHeight="1">
      <c r="A73" s="4" t="str">
        <f t="shared" si="17"/>
        <v>Transporte y comunicaciones</v>
      </c>
      <c r="C73" s="28">
        <f t="shared" ref="C73:L73" si="27">C15/$E$15*100</f>
        <v>94.29793203375479</v>
      </c>
      <c r="D73" s="28">
        <f t="shared" si="27"/>
        <v>97.473247359345066</v>
      </c>
      <c r="E73" s="28">
        <f t="shared" si="27"/>
        <v>100</v>
      </c>
      <c r="F73" s="28">
        <f t="shared" si="27"/>
        <v>75.134681562609529</v>
      </c>
      <c r="G73" s="28">
        <f t="shared" si="27"/>
        <v>87.994027602453514</v>
      </c>
      <c r="H73" s="28">
        <f t="shared" si="27"/>
        <v>94.647174439842786</v>
      </c>
      <c r="I73" s="28">
        <f t="shared" si="27"/>
        <v>95.524199993405929</v>
      </c>
      <c r="J73" s="28">
        <f t="shared" si="27"/>
        <v>97.599494996756491</v>
      </c>
      <c r="K73" s="28">
        <f t="shared" si="27"/>
        <v>95.830323211468453</v>
      </c>
      <c r="L73" s="28">
        <f t="shared" si="27"/>
        <v>86.726442506378959</v>
      </c>
    </row>
    <row r="74" spans="1:12" ht="15" customHeight="1">
      <c r="A74" s="4" t="str">
        <f t="shared" si="17"/>
        <v>Construcción</v>
      </c>
      <c r="C74" s="28">
        <f t="shared" ref="C74:L74" si="28">C16/$E$16*100</f>
        <v>85.819938752175887</v>
      </c>
      <c r="D74" s="28">
        <f t="shared" si="28"/>
        <v>88.82021928059109</v>
      </c>
      <c r="E74" s="28">
        <f t="shared" si="28"/>
        <v>100</v>
      </c>
      <c r="F74" s="28">
        <f t="shared" si="28"/>
        <v>52.81110676890377</v>
      </c>
      <c r="G74" s="28">
        <f t="shared" si="28"/>
        <v>70.7996871993045</v>
      </c>
      <c r="H74" s="28">
        <f t="shared" si="28"/>
        <v>74.688614864160883</v>
      </c>
      <c r="I74" s="28">
        <f t="shared" si="28"/>
        <v>76.315677245162888</v>
      </c>
      <c r="J74" s="28">
        <f t="shared" si="28"/>
        <v>78.996173470630893</v>
      </c>
      <c r="K74" s="28">
        <f t="shared" si="28"/>
        <v>69.463969661998277</v>
      </c>
      <c r="L74" s="28">
        <f t="shared" si="28"/>
        <v>50.500305944272753</v>
      </c>
    </row>
    <row r="75" spans="1:12" ht="15" customHeight="1">
      <c r="A75" s="3" t="s">
        <v>114</v>
      </c>
      <c r="C75" s="29">
        <f t="shared" ref="C75:L75" si="29">C20/$E$20*100</f>
        <v>93.271596787939174</v>
      </c>
      <c r="D75" s="29">
        <f t="shared" si="29"/>
        <v>97.776404076292451</v>
      </c>
      <c r="E75" s="29">
        <f t="shared" si="29"/>
        <v>100</v>
      </c>
      <c r="F75" s="29">
        <f t="shared" si="29"/>
        <v>84.359208267815774</v>
      </c>
      <c r="G75" s="29">
        <f t="shared" si="29"/>
        <v>94.01519607254744</v>
      </c>
      <c r="H75" s="29">
        <f t="shared" si="29"/>
        <v>100.18484953967663</v>
      </c>
      <c r="I75" s="29">
        <f t="shared" si="29"/>
        <v>101.92951711058565</v>
      </c>
      <c r="J75" s="29">
        <f t="shared" si="29"/>
        <v>101.21232490307402</v>
      </c>
      <c r="K75" s="29">
        <f t="shared" si="29"/>
        <v>98.934114342643824</v>
      </c>
      <c r="L75" s="29">
        <f t="shared" si="29"/>
        <v>95.629714923599522</v>
      </c>
    </row>
    <row r="77" spans="1:12" ht="15" customHeight="1">
      <c r="A77" s="2" t="s">
        <v>127</v>
      </c>
    </row>
    <row r="80" spans="1:12" ht="15" customHeight="1">
      <c r="A80" s="25" t="s">
        <v>128</v>
      </c>
    </row>
    <row r="81" spans="1:11" ht="23.25" customHeight="1">
      <c r="A81" s="6" t="s">
        <v>57</v>
      </c>
      <c r="B81" s="6" t="s">
        <v>129</v>
      </c>
      <c r="C81" s="6" t="s">
        <v>100</v>
      </c>
      <c r="D81" s="6" t="s">
        <v>101</v>
      </c>
      <c r="E81" s="6" t="s">
        <v>102</v>
      </c>
      <c r="F81" s="6" t="s">
        <v>103</v>
      </c>
      <c r="G81" s="6" t="s">
        <v>104</v>
      </c>
      <c r="H81" s="6" t="s">
        <v>105</v>
      </c>
      <c r="I81" s="6" t="s">
        <v>106</v>
      </c>
      <c r="J81" s="6" t="s">
        <v>107</v>
      </c>
      <c r="K81" s="6" t="s">
        <v>108</v>
      </c>
    </row>
    <row r="82" spans="1:11" ht="15" customHeight="1">
      <c r="A82" s="4" t="str">
        <f t="shared" ref="A82:A92" si="30">A6</f>
        <v>Actividad extractiva</v>
      </c>
      <c r="B82" s="31">
        <f t="shared" ref="B82:B93" si="31">AVERAGE(C82:D82)</f>
        <v>-4.3681636477074792E-3</v>
      </c>
      <c r="C82" s="31">
        <f t="shared" ref="C82:K82" si="32">D6/C6-1</f>
        <v>5.4179189066112965E-2</v>
      </c>
      <c r="D82" s="31">
        <f t="shared" si="32"/>
        <v>-6.2915516361527923E-2</v>
      </c>
      <c r="E82" s="31">
        <f t="shared" si="32"/>
        <v>-0.21534033421098087</v>
      </c>
      <c r="F82" s="31">
        <f t="shared" si="32"/>
        <v>0.30798469625713687</v>
      </c>
      <c r="G82" s="31">
        <f t="shared" si="32"/>
        <v>6.7913136206898983E-2</v>
      </c>
      <c r="H82" s="31">
        <f t="shared" si="32"/>
        <v>-3.0537256306848115E-2</v>
      </c>
      <c r="I82" s="31">
        <f t="shared" si="32"/>
        <v>-0.10527994009228236</v>
      </c>
      <c r="J82" s="31">
        <f t="shared" si="32"/>
        <v>-0.10204238308378399</v>
      </c>
      <c r="K82" s="31">
        <f t="shared" si="32"/>
        <v>9.8999999999999977E-2</v>
      </c>
    </row>
    <row r="83" spans="1:11" ht="15" customHeight="1">
      <c r="A83" s="4" t="str">
        <f t="shared" si="30"/>
        <v>Agricultura, ganadería, silvicultura y pesca</v>
      </c>
      <c r="B83" s="31">
        <f t="shared" si="31"/>
        <v>3.1423577657657797E-2</v>
      </c>
      <c r="C83" s="31">
        <f t="shared" ref="C83:K83" si="33">D7/C7-1</f>
        <v>4.9663180215548719E-2</v>
      </c>
      <c r="D83" s="31">
        <f t="shared" si="33"/>
        <v>1.3183975099766876E-2</v>
      </c>
      <c r="E83" s="31">
        <f t="shared" si="33"/>
        <v>1.5518044736991143E-2</v>
      </c>
      <c r="F83" s="31">
        <f t="shared" si="33"/>
        <v>7.6632642952233931E-2</v>
      </c>
      <c r="G83" s="31">
        <f t="shared" si="33"/>
        <v>2.5510250826806136E-2</v>
      </c>
      <c r="H83" s="31">
        <f t="shared" si="33"/>
        <v>1.76895298561075E-2</v>
      </c>
      <c r="I83" s="31">
        <f t="shared" si="33"/>
        <v>1.1940998514981649E-2</v>
      </c>
      <c r="J83" s="31">
        <f t="shared" si="33"/>
        <v>2.8278459989591109E-2</v>
      </c>
      <c r="K83" s="31">
        <f t="shared" si="33"/>
        <v>3.2000000000000028E-2</v>
      </c>
    </row>
    <row r="84" spans="1:11" ht="15" customHeight="1">
      <c r="A84" s="4" t="str">
        <f t="shared" si="30"/>
        <v>Electricidad, agua y recolección de desechos</v>
      </c>
      <c r="B84" s="31">
        <f t="shared" si="31"/>
        <v>7.0668751899472748E-2</v>
      </c>
      <c r="C84" s="31">
        <f t="shared" ref="C84:K84" si="34">D8/C8-1</f>
        <v>4.3473796385090413E-2</v>
      </c>
      <c r="D84" s="31">
        <f t="shared" si="34"/>
        <v>9.7863707413855083E-2</v>
      </c>
      <c r="E84" s="31">
        <f t="shared" si="34"/>
        <v>-6.9826708242861968E-2</v>
      </c>
      <c r="F84" s="31">
        <f t="shared" si="34"/>
        <v>9.2217515984530207E-2</v>
      </c>
      <c r="G84" s="31">
        <f t="shared" si="34"/>
        <v>6.7310516598541703E-2</v>
      </c>
      <c r="H84" s="31">
        <f t="shared" si="34"/>
        <v>2.889570066603353E-2</v>
      </c>
      <c r="I84" s="31">
        <f t="shared" si="34"/>
        <v>4.9548879796986522E-2</v>
      </c>
      <c r="J84" s="31">
        <f t="shared" si="34"/>
        <v>-1.143846291084416E-2</v>
      </c>
      <c r="K84" s="31">
        <f t="shared" si="34"/>
        <v>2.0000000000000018E-2</v>
      </c>
    </row>
    <row r="85" spans="1:11" ht="15" customHeight="1">
      <c r="A85" s="4" t="str">
        <f t="shared" si="30"/>
        <v>Administración pública, salud y educación</v>
      </c>
      <c r="B85" s="31">
        <f t="shared" si="31"/>
        <v>1.0542477758716362E-2</v>
      </c>
      <c r="C85" s="31">
        <f t="shared" ref="C85:K85" si="35">D9/C9-1</f>
        <v>2.4398330493746512E-2</v>
      </c>
      <c r="D85" s="31">
        <f t="shared" si="35"/>
        <v>-3.3133749763137876E-3</v>
      </c>
      <c r="E85" s="31">
        <f t="shared" si="35"/>
        <v>-1.3143590695046559E-2</v>
      </c>
      <c r="F85" s="31">
        <f t="shared" si="35"/>
        <v>3.0287195777839226E-2</v>
      </c>
      <c r="G85" s="31">
        <f t="shared" si="35"/>
        <v>4.6190312660765454E-3</v>
      </c>
      <c r="H85" s="31">
        <f t="shared" si="35"/>
        <v>5.8692421912185599E-2</v>
      </c>
      <c r="I85" s="31">
        <f t="shared" si="35"/>
        <v>3.1717226836705414E-2</v>
      </c>
      <c r="J85" s="31">
        <f t="shared" si="35"/>
        <v>1.8301667407095712E-2</v>
      </c>
      <c r="K85" s="31">
        <f t="shared" si="35"/>
        <v>2.9999999999998916E-3</v>
      </c>
    </row>
    <row r="86" spans="1:11" ht="15" customHeight="1">
      <c r="A86" s="4" t="str">
        <f t="shared" si="30"/>
        <v>Actividades comunales, sociales y personales</v>
      </c>
      <c r="B86" s="31">
        <f t="shared" si="31"/>
        <v>2.1046525800330618E-2</v>
      </c>
      <c r="C86" s="31">
        <f t="shared" ref="C86:K86" si="36">D10/C10-1</f>
        <v>7.7467014204496421E-2</v>
      </c>
      <c r="D86" s="31">
        <f t="shared" si="36"/>
        <v>-3.5373962603835185E-2</v>
      </c>
      <c r="E86" s="31">
        <f t="shared" si="36"/>
        <v>-0.11047360195020817</v>
      </c>
      <c r="F86" s="31">
        <f t="shared" si="36"/>
        <v>0.111836421999435</v>
      </c>
      <c r="G86" s="31">
        <f t="shared" si="36"/>
        <v>-2.5323953259967835E-2</v>
      </c>
      <c r="H86" s="31">
        <f t="shared" si="36"/>
        <v>8.1350993397806937E-2</v>
      </c>
      <c r="I86" s="31">
        <f t="shared" si="36"/>
        <v>-7.510635276792299E-3</v>
      </c>
      <c r="J86" s="31">
        <f t="shared" si="36"/>
        <v>3.8977399354044318E-2</v>
      </c>
      <c r="K86" s="31">
        <f t="shared" si="36"/>
        <v>-1.4000000000000123E-2</v>
      </c>
    </row>
    <row r="87" spans="1:11" ht="15" customHeight="1">
      <c r="A87" s="4" t="str">
        <f t="shared" si="30"/>
        <v>Alojamiento y servicio de comidas y bebidas</v>
      </c>
      <c r="B87" s="31">
        <f t="shared" si="31"/>
        <v>6.1600409979808091E-2</v>
      </c>
      <c r="C87" s="31">
        <f t="shared" ref="C87:K87" si="37">D11/C11-1</f>
        <v>6.3138454874184236E-2</v>
      </c>
      <c r="D87" s="31">
        <f t="shared" si="37"/>
        <v>6.0062365085431946E-2</v>
      </c>
      <c r="E87" s="31">
        <f t="shared" si="37"/>
        <v>-0.23312579698902314</v>
      </c>
      <c r="F87" s="31">
        <f t="shared" si="37"/>
        <v>5.9238557065333097E-2</v>
      </c>
      <c r="G87" s="31">
        <f t="shared" si="37"/>
        <v>0.20442468756757837</v>
      </c>
      <c r="H87" s="31">
        <f t="shared" si="37"/>
        <v>4.1084783451079243E-2</v>
      </c>
      <c r="I87" s="31">
        <f t="shared" si="37"/>
        <v>1.2867829748803183E-2</v>
      </c>
      <c r="J87" s="31">
        <f t="shared" si="37"/>
        <v>6.4118681647531428E-2</v>
      </c>
      <c r="K87" s="31">
        <f t="shared" si="37"/>
        <v>-2.6000000000000023E-2</v>
      </c>
    </row>
    <row r="88" spans="1:11" ht="15" customHeight="1">
      <c r="A88" s="4" t="str">
        <f t="shared" si="30"/>
        <v>Financieras, seguros, inmobiliarias y prof.</v>
      </c>
      <c r="B88" s="31">
        <f t="shared" si="31"/>
        <v>4.8481210341702496E-2</v>
      </c>
      <c r="C88" s="31">
        <f t="shared" ref="C88:K88" si="38">D12/C12-1</f>
        <v>7.1881699613002503E-2</v>
      </c>
      <c r="D88" s="31">
        <f t="shared" si="38"/>
        <v>2.508072107040249E-2</v>
      </c>
      <c r="E88" s="31">
        <f t="shared" si="38"/>
        <v>-4.4366870662083668E-2</v>
      </c>
      <c r="F88" s="31">
        <f t="shared" si="38"/>
        <v>-2.0740444287924431E-2</v>
      </c>
      <c r="G88" s="31">
        <f t="shared" si="38"/>
        <v>0.10087027739064958</v>
      </c>
      <c r="H88" s="31">
        <f t="shared" si="38"/>
        <v>-1.1689638585362983E-2</v>
      </c>
      <c r="I88" s="31">
        <f t="shared" si="38"/>
        <v>4.648116713395134E-2</v>
      </c>
      <c r="J88" s="31">
        <f t="shared" si="38"/>
        <v>-5.6811419315756062E-2</v>
      </c>
      <c r="K88" s="31">
        <f t="shared" si="38"/>
        <v>-4.2999999999999927E-2</v>
      </c>
    </row>
    <row r="89" spans="1:11" ht="15" customHeight="1">
      <c r="A89" s="4" t="str">
        <f t="shared" si="30"/>
        <v>Industrias manufactureras</v>
      </c>
      <c r="B89" s="31">
        <f t="shared" si="31"/>
        <v>4.4768741475896934E-2</v>
      </c>
      <c r="C89" s="31">
        <f t="shared" ref="C89:K89" si="39">D13/C13-1</f>
        <v>4.7527962533256751E-2</v>
      </c>
      <c r="D89" s="31">
        <f t="shared" si="39"/>
        <v>4.2009520418537116E-2</v>
      </c>
      <c r="E89" s="31">
        <f t="shared" si="39"/>
        <v>-0.1932451652099848</v>
      </c>
      <c r="F89" s="31">
        <f t="shared" si="39"/>
        <v>0.18094728456387554</v>
      </c>
      <c r="G89" s="31">
        <f t="shared" si="39"/>
        <v>7.7665786854401064E-2</v>
      </c>
      <c r="H89" s="31">
        <f t="shared" si="39"/>
        <v>2.1070449267799773E-2</v>
      </c>
      <c r="I89" s="31">
        <f t="shared" si="39"/>
        <v>-9.3986616436486647E-3</v>
      </c>
      <c r="J89" s="31">
        <f t="shared" si="39"/>
        <v>1.4191335091784385E-2</v>
      </c>
      <c r="K89" s="31">
        <f t="shared" si="39"/>
        <v>-7.6999999999999846E-2</v>
      </c>
    </row>
    <row r="90" spans="1:11" ht="15" customHeight="1">
      <c r="A90" s="4" t="str">
        <f t="shared" si="30"/>
        <v>Comercio</v>
      </c>
      <c r="B90" s="31">
        <f t="shared" si="31"/>
        <v>4.0671730988582344E-2</v>
      </c>
      <c r="C90" s="31">
        <f t="shared" ref="C90:K90" si="40">D14/C14-1</f>
        <v>3.5944645362165017E-2</v>
      </c>
      <c r="D90" s="31">
        <f t="shared" si="40"/>
        <v>4.5398816614999671E-2</v>
      </c>
      <c r="E90" s="31">
        <f t="shared" si="40"/>
        <v>-0.23331844448296157</v>
      </c>
      <c r="F90" s="31">
        <f t="shared" si="40"/>
        <v>0.20716644060045808</v>
      </c>
      <c r="G90" s="31">
        <f t="shared" si="40"/>
        <v>7.3421042168505535E-2</v>
      </c>
      <c r="H90" s="31">
        <f t="shared" si="40"/>
        <v>3.4796473833821562E-2</v>
      </c>
      <c r="I90" s="31">
        <f t="shared" si="40"/>
        <v>-6.5040275320882857E-2</v>
      </c>
      <c r="J90" s="31">
        <f t="shared" si="40"/>
        <v>2.6806410294461624E-2</v>
      </c>
      <c r="K90" s="31">
        <f t="shared" si="40"/>
        <v>-8.5999999999999965E-2</v>
      </c>
    </row>
    <row r="91" spans="1:11" ht="15" customHeight="1">
      <c r="A91" s="4" t="str">
        <f t="shared" si="30"/>
        <v>Transporte y comunicaciones</v>
      </c>
      <c r="B91" s="31">
        <f t="shared" si="31"/>
        <v>2.9797873907667083E-2</v>
      </c>
      <c r="C91" s="31">
        <f t="shared" ref="C91:K91" si="41">D15/C15-1</f>
        <v>3.3673223337004066E-2</v>
      </c>
      <c r="D91" s="31">
        <f t="shared" si="41"/>
        <v>2.59225244783301E-2</v>
      </c>
      <c r="E91" s="31">
        <f t="shared" si="41"/>
        <v>-0.24865318437390471</v>
      </c>
      <c r="F91" s="31">
        <f t="shared" si="41"/>
        <v>0.17115060278958305</v>
      </c>
      <c r="G91" s="31">
        <f t="shared" si="41"/>
        <v>7.5609072782159448E-2</v>
      </c>
      <c r="H91" s="31">
        <f t="shared" si="41"/>
        <v>9.2662623977284309E-3</v>
      </c>
      <c r="I91" s="31">
        <f t="shared" si="41"/>
        <v>2.1725332465425629E-2</v>
      </c>
      <c r="J91" s="31">
        <f t="shared" si="41"/>
        <v>-1.8126853887377337E-2</v>
      </c>
      <c r="K91" s="31">
        <f t="shared" si="41"/>
        <v>-9.4999999999999862E-2</v>
      </c>
    </row>
    <row r="92" spans="1:11" ht="15" customHeight="1">
      <c r="A92" s="4" t="str">
        <f t="shared" si="30"/>
        <v>Construcción</v>
      </c>
      <c r="B92" s="31">
        <f t="shared" si="31"/>
        <v>8.0414975957171508E-2</v>
      </c>
      <c r="C92" s="31">
        <f t="shared" ref="C92:K92" si="42">D16/C16-1</f>
        <v>3.4960180256935036E-2</v>
      </c>
      <c r="D92" s="31">
        <f t="shared" si="42"/>
        <v>0.12586977165740798</v>
      </c>
      <c r="E92" s="31">
        <f t="shared" si="42"/>
        <v>-0.47188893231096229</v>
      </c>
      <c r="F92" s="31">
        <f t="shared" si="42"/>
        <v>0.34062115965713424</v>
      </c>
      <c r="G92" s="31">
        <f t="shared" si="42"/>
        <v>5.4928599527690913E-2</v>
      </c>
      <c r="H92" s="31">
        <f t="shared" si="42"/>
        <v>2.1784610465212184E-2</v>
      </c>
      <c r="I92" s="31">
        <f t="shared" si="42"/>
        <v>3.51237952964365E-2</v>
      </c>
      <c r="J92" s="31">
        <f t="shared" si="42"/>
        <v>-0.12066665244458297</v>
      </c>
      <c r="K92" s="31">
        <f t="shared" si="42"/>
        <v>-0.27300000000000002</v>
      </c>
    </row>
    <row r="93" spans="1:11" ht="15" customHeight="1">
      <c r="A93" s="3" t="s">
        <v>114</v>
      </c>
      <c r="B93" s="32">
        <f t="shared" si="31"/>
        <v>3.5519690495786516E-2</v>
      </c>
      <c r="C93" s="32">
        <f t="shared" ref="C93:K93" si="43">D20/C20-1</f>
        <v>4.8297739542246143E-2</v>
      </c>
      <c r="D93" s="32">
        <f t="shared" si="43"/>
        <v>2.2741641449326888E-2</v>
      </c>
      <c r="E93" s="32">
        <f t="shared" si="43"/>
        <v>-0.15640791732184223</v>
      </c>
      <c r="F93" s="32">
        <f t="shared" si="43"/>
        <v>0.11446275994052413</v>
      </c>
      <c r="G93" s="32">
        <f t="shared" si="43"/>
        <v>6.5624002553463123E-2</v>
      </c>
      <c r="H93" s="32">
        <f t="shared" si="43"/>
        <v>1.7414485113520728E-2</v>
      </c>
      <c r="I93" s="32">
        <f t="shared" si="43"/>
        <v>-7.0361581987434807E-3</v>
      </c>
      <c r="J93" s="32">
        <f t="shared" si="43"/>
        <v>-2.2509220716073086E-2</v>
      </c>
      <c r="K93" s="32">
        <f t="shared" si="43"/>
        <v>-3.3399999999999985E-2</v>
      </c>
    </row>
    <row r="95" spans="1:11" ht="15" customHeight="1">
      <c r="A95" s="2" t="s">
        <v>130</v>
      </c>
    </row>
    <row r="96" spans="1:11" ht="15" customHeight="1">
      <c r="A96" s="2" t="s">
        <v>131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PIB trimestral</vt:lpstr>
      <vt:lpstr>IpAEC ene-jun 2026</vt:lpstr>
      <vt:lpstr>PIB primer semestre</vt:lpstr>
      <vt:lpstr>INE trimestral sectorial</vt:lpstr>
      <vt:lpstr>Sectorial semestre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Augusto Aranda Herrera</cp:lastModifiedBy>
  <cp:revision>0</cp:revision>
  <dcterms:created xsi:type="dcterms:W3CDTF">2026-08-18T17:20:34Z</dcterms:created>
  <dcterms:modified xsi:type="dcterms:W3CDTF">2026-08-21T18:54:13Z</dcterms:modified>
  <dc:language>en-US</dc:language>
</cp:coreProperties>
</file>